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normandie1-my.sharepoint.com/personal/jtang_em-normandie_fr/Documents/2EVRPMM/Code/2EVRPTWMM/result/"/>
    </mc:Choice>
  </mc:AlternateContent>
  <xr:revisionPtr revIDLastSave="3396" documentId="8_{EFF55972-5ECA-3945-82E7-2BF28926C9C1}" xr6:coauthVersionLast="47" xr6:coauthVersionMax="47" xr10:uidLastSave="{68CA5B17-96BB-D043-BB9F-4C53F7B82E8E}"/>
  <bookViews>
    <workbookView xWindow="4420" yWindow="660" windowWidth="25820" windowHeight="17660" activeTab="8" xr2:uid="{7D2CA5AE-647E-574D-B901-416D769C3F34}"/>
  </bookViews>
  <sheets>
    <sheet name="BAP" sheetId="2" r:id="rId1"/>
    <sheet name="Compact" sheetId="3" r:id="rId2"/>
    <sheet name="Sheet1" sheetId="1" r:id="rId3"/>
    <sheet name="nico_dataset" sheetId="4" r:id="rId4"/>
    <sheet name="Sheet2" sheetId="6" r:id="rId5"/>
    <sheet name="Sheet3" sheetId="7" r:id="rId6"/>
    <sheet name="final" sheetId="8" r:id="rId7"/>
    <sheet name="Sheet4" sheetId="11" r:id="rId8"/>
    <sheet name="node_nb" sheetId="12" r:id="rId9"/>
  </sheets>
  <definedNames>
    <definedName name="_xlnm._FilterDatabase" localSheetId="6" hidden="1">final!$A$1:$AA$384</definedName>
    <definedName name="_xlnm._FilterDatabase" localSheetId="3" hidden="1">nico_dataset!$A$8:$O$526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2" l="1"/>
  <c r="P245" i="12"/>
  <c r="Q245" i="12"/>
  <c r="S245" i="12"/>
  <c r="H245" i="12"/>
  <c r="S123" i="12"/>
  <c r="H123" i="12"/>
  <c r="K1" i="12"/>
  <c r="L1" i="12"/>
  <c r="N1" i="12"/>
  <c r="O1" i="12"/>
  <c r="H184" i="12"/>
  <c r="S184" i="12"/>
  <c r="Q184" i="12"/>
  <c r="P184" i="12"/>
  <c r="Q62" i="12"/>
  <c r="Q123" i="12"/>
  <c r="P123" i="12"/>
  <c r="P62" i="12"/>
  <c r="T139" i="12"/>
  <c r="T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3" i="12"/>
  <c r="T64" i="12"/>
  <c r="T65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66" i="12"/>
  <c r="H1" i="12"/>
  <c r="I1" i="12"/>
  <c r="J1" i="12"/>
  <c r="M1" i="12"/>
  <c r="S1" i="12"/>
  <c r="W65" i="8"/>
  <c r="W64" i="8"/>
  <c r="W43" i="8"/>
  <c r="W22" i="8"/>
  <c r="W129" i="8"/>
  <c r="W86" i="8"/>
  <c r="W107" i="8"/>
  <c r="W128" i="8"/>
  <c r="G129" i="8"/>
  <c r="H129" i="8"/>
  <c r="I129" i="8"/>
  <c r="M129" i="8"/>
  <c r="N129" i="8"/>
  <c r="O129" i="8"/>
  <c r="P129" i="8"/>
  <c r="Q129" i="8"/>
  <c r="R129" i="8"/>
  <c r="S129" i="8"/>
  <c r="F129" i="8"/>
  <c r="G86" i="8"/>
  <c r="H86" i="8"/>
  <c r="I86" i="8"/>
  <c r="M86" i="8"/>
  <c r="N86" i="8"/>
  <c r="O86" i="8"/>
  <c r="P86" i="8"/>
  <c r="Q86" i="8"/>
  <c r="R86" i="8"/>
  <c r="S86" i="8"/>
  <c r="F86" i="8"/>
  <c r="G107" i="8"/>
  <c r="H107" i="8"/>
  <c r="I107" i="8"/>
  <c r="M107" i="8"/>
  <c r="N107" i="8"/>
  <c r="O107" i="8"/>
  <c r="P107" i="8"/>
  <c r="Q107" i="8"/>
  <c r="R107" i="8"/>
  <c r="S107" i="8"/>
  <c r="F107" i="8"/>
  <c r="N128" i="8"/>
  <c r="O128" i="8"/>
  <c r="P128" i="8"/>
  <c r="Q128" i="8"/>
  <c r="R128" i="8"/>
  <c r="S128" i="8"/>
  <c r="M128" i="8"/>
  <c r="G128" i="8"/>
  <c r="H128" i="8"/>
  <c r="I128" i="8"/>
  <c r="F128" i="8"/>
  <c r="G64" i="8"/>
  <c r="H65" i="8"/>
  <c r="G65" i="8"/>
  <c r="F65" i="8"/>
  <c r="I65" i="8"/>
  <c r="M65" i="8"/>
  <c r="N65" i="8"/>
  <c r="O65" i="8"/>
  <c r="P65" i="8"/>
  <c r="Q65" i="8"/>
  <c r="R65" i="8"/>
  <c r="S65" i="8"/>
  <c r="M64" i="8"/>
  <c r="N64" i="8"/>
  <c r="O64" i="8"/>
  <c r="P64" i="8"/>
  <c r="Q64" i="8"/>
  <c r="R64" i="8"/>
  <c r="S64" i="8"/>
  <c r="I64" i="8"/>
  <c r="H64" i="8"/>
  <c r="F64" i="8"/>
  <c r="G278" i="8"/>
  <c r="H278" i="8"/>
  <c r="I278" i="8"/>
  <c r="M278" i="8"/>
  <c r="N278" i="8"/>
  <c r="O278" i="8"/>
  <c r="P278" i="8"/>
  <c r="Q278" i="8"/>
  <c r="R278" i="8"/>
  <c r="S278" i="8"/>
  <c r="F278" i="8"/>
  <c r="G299" i="8"/>
  <c r="H299" i="8"/>
  <c r="I299" i="8"/>
  <c r="M299" i="8"/>
  <c r="N299" i="8"/>
  <c r="O299" i="8"/>
  <c r="P299" i="8"/>
  <c r="Q299" i="8"/>
  <c r="R299" i="8"/>
  <c r="S299" i="8"/>
  <c r="F299" i="8"/>
  <c r="R320" i="8"/>
  <c r="S320" i="8"/>
  <c r="G320" i="8"/>
  <c r="H320" i="8"/>
  <c r="I320" i="8"/>
  <c r="M320" i="8"/>
  <c r="N320" i="8"/>
  <c r="O320" i="8"/>
  <c r="P320" i="8"/>
  <c r="Q320" i="8"/>
  <c r="F320" i="8"/>
  <c r="F257" i="8"/>
  <c r="M257" i="8"/>
  <c r="G256" i="8"/>
  <c r="H256" i="8"/>
  <c r="I256" i="8"/>
  <c r="M256" i="8"/>
  <c r="N256" i="8"/>
  <c r="O256" i="8"/>
  <c r="P256" i="8"/>
  <c r="Q256" i="8"/>
  <c r="R256" i="8"/>
  <c r="S256" i="8"/>
  <c r="F256" i="8"/>
  <c r="G235" i="8"/>
  <c r="H235" i="8"/>
  <c r="I235" i="8"/>
  <c r="M235" i="8"/>
  <c r="N235" i="8"/>
  <c r="O235" i="8"/>
  <c r="P235" i="8"/>
  <c r="Q235" i="8"/>
  <c r="R235" i="8"/>
  <c r="S235" i="8"/>
  <c r="F235" i="8"/>
  <c r="G214" i="8"/>
  <c r="H214" i="8"/>
  <c r="I214" i="8"/>
  <c r="M214" i="8"/>
  <c r="N214" i="8"/>
  <c r="O214" i="8"/>
  <c r="P214" i="8"/>
  <c r="Q214" i="8"/>
  <c r="R214" i="8"/>
  <c r="S214" i="8"/>
  <c r="F214" i="8"/>
  <c r="G150" i="8"/>
  <c r="H150" i="8"/>
  <c r="I150" i="8"/>
  <c r="M150" i="8"/>
  <c r="N150" i="8"/>
  <c r="O150" i="8"/>
  <c r="P150" i="8"/>
  <c r="Q150" i="8"/>
  <c r="R150" i="8"/>
  <c r="S150" i="8"/>
  <c r="F150" i="8"/>
  <c r="S171" i="8"/>
  <c r="G171" i="8"/>
  <c r="H171" i="8"/>
  <c r="I171" i="8"/>
  <c r="M171" i="8"/>
  <c r="N171" i="8"/>
  <c r="O171" i="8"/>
  <c r="P171" i="8"/>
  <c r="Q171" i="8"/>
  <c r="R171" i="8"/>
  <c r="R193" i="8" s="1"/>
  <c r="F171" i="8"/>
  <c r="G192" i="8"/>
  <c r="H192" i="8"/>
  <c r="I192" i="8"/>
  <c r="M192" i="8"/>
  <c r="N192" i="8"/>
  <c r="O192" i="8"/>
  <c r="P192" i="8"/>
  <c r="Q192" i="8"/>
  <c r="R192" i="8"/>
  <c r="S192" i="8"/>
  <c r="F192" i="8"/>
  <c r="N43" i="8"/>
  <c r="O43" i="8"/>
  <c r="P43" i="8"/>
  <c r="Q43" i="8"/>
  <c r="R43" i="8"/>
  <c r="S43" i="8"/>
  <c r="M43" i="8"/>
  <c r="G43" i="8"/>
  <c r="H43" i="8"/>
  <c r="I43" i="8"/>
  <c r="F43" i="8"/>
  <c r="N22" i="8"/>
  <c r="O22" i="8"/>
  <c r="P22" i="8"/>
  <c r="Q22" i="8"/>
  <c r="R22" i="8"/>
  <c r="S22" i="8"/>
  <c r="M22" i="8"/>
  <c r="G22" i="8"/>
  <c r="H22" i="8"/>
  <c r="I22" i="8"/>
  <c r="F22" i="8"/>
  <c r="N399" i="8"/>
  <c r="A193" i="8"/>
  <c r="A65" i="8" s="1"/>
  <c r="C23" i="7"/>
  <c r="D23" i="7"/>
  <c r="E23" i="7"/>
  <c r="F23" i="7"/>
  <c r="I23" i="7"/>
  <c r="J23" i="7"/>
  <c r="K23" i="7"/>
  <c r="O85" i="7"/>
  <c r="C146" i="7"/>
  <c r="C85" i="7"/>
  <c r="D85" i="7"/>
  <c r="E85" i="7"/>
  <c r="F85" i="7"/>
  <c r="J85" i="7"/>
  <c r="K85" i="7"/>
  <c r="I85" i="7"/>
  <c r="O90" i="6"/>
  <c r="Q213" i="6"/>
  <c r="Q152" i="6"/>
  <c r="S152" i="6"/>
  <c r="Q90" i="6"/>
  <c r="Q68" i="6"/>
  <c r="Q275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9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70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15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15" i="6"/>
  <c r="N154" i="6"/>
  <c r="N158" i="6"/>
  <c r="N160" i="6"/>
  <c r="N161" i="6"/>
  <c r="N162" i="6"/>
  <c r="N163" i="6"/>
  <c r="N164" i="6"/>
  <c r="N165" i="6"/>
  <c r="N166" i="6"/>
  <c r="N167" i="6"/>
  <c r="N168" i="6"/>
  <c r="N179" i="6"/>
  <c r="N182" i="6"/>
  <c r="N183" i="6"/>
  <c r="N186" i="6"/>
  <c r="N191" i="6"/>
  <c r="N194" i="6"/>
  <c r="N198" i="6"/>
  <c r="N199" i="6"/>
  <c r="N200" i="6"/>
  <c r="N201" i="6"/>
  <c r="N202" i="6"/>
  <c r="N203" i="6"/>
  <c r="N204" i="6"/>
  <c r="N206" i="6"/>
  <c r="N207" i="6"/>
  <c r="N208" i="6"/>
  <c r="N209" i="6"/>
  <c r="N210" i="6"/>
  <c r="N211" i="6"/>
  <c r="N212" i="6"/>
  <c r="N156" i="6"/>
  <c r="N157" i="6"/>
  <c r="P155" i="6"/>
  <c r="P157" i="6"/>
  <c r="P158" i="6"/>
  <c r="P159" i="6"/>
  <c r="P160" i="6"/>
  <c r="P161" i="6"/>
  <c r="P162" i="6"/>
  <c r="P166" i="6"/>
  <c r="P167" i="6"/>
  <c r="P168" i="6"/>
  <c r="P169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6" i="6"/>
  <c r="P197" i="6"/>
  <c r="P198" i="6"/>
  <c r="P199" i="6"/>
  <c r="P201" i="6"/>
  <c r="P202" i="6"/>
  <c r="P203" i="6"/>
  <c r="P205" i="6"/>
  <c r="P209" i="6"/>
  <c r="P210" i="6"/>
  <c r="P211" i="6"/>
  <c r="P212" i="6"/>
  <c r="P154" i="6"/>
  <c r="O213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92" i="6"/>
  <c r="J152" i="6"/>
  <c r="J90" i="6"/>
  <c r="G90" i="6"/>
  <c r="J68" i="6"/>
  <c r="G152" i="6"/>
  <c r="G68" i="6"/>
  <c r="B2" i="4"/>
  <c r="C2" i="4"/>
  <c r="B3" i="4"/>
  <c r="C5" i="4"/>
  <c r="C4" i="4"/>
  <c r="C3" i="4"/>
  <c r="B6" i="4"/>
  <c r="B5" i="4"/>
  <c r="B4" i="4"/>
  <c r="K24" i="2"/>
  <c r="K25" i="2"/>
  <c r="K26" i="2"/>
  <c r="K27" i="2"/>
  <c r="K28" i="2"/>
  <c r="K29" i="2"/>
  <c r="K30" i="2"/>
  <c r="K23" i="2"/>
  <c r="E103" i="2"/>
  <c r="E94" i="2"/>
  <c r="E58" i="2"/>
  <c r="E67" i="2"/>
  <c r="E76" i="2"/>
  <c r="E85" i="2"/>
  <c r="H40" i="2"/>
  <c r="H49" i="2"/>
  <c r="E49" i="2"/>
  <c r="E40" i="2"/>
  <c r="E31" i="2"/>
  <c r="H31" i="2"/>
  <c r="H22" i="2"/>
  <c r="E22" i="2"/>
  <c r="K31" i="1"/>
  <c r="J31" i="1"/>
  <c r="K43" i="1"/>
  <c r="J43" i="1"/>
  <c r="H43" i="1"/>
  <c r="H7" i="1"/>
  <c r="H13" i="1"/>
  <c r="H19" i="1"/>
  <c r="H25" i="1"/>
  <c r="H31" i="1"/>
  <c r="H37" i="1"/>
  <c r="F43" i="1"/>
  <c r="E43" i="1"/>
  <c r="I43" i="1" s="1"/>
  <c r="F37" i="1"/>
  <c r="E37" i="1"/>
  <c r="F7" i="1"/>
  <c r="E7" i="1"/>
  <c r="F13" i="1"/>
  <c r="E13" i="1"/>
  <c r="F31" i="1"/>
  <c r="E31" i="1"/>
  <c r="F19" i="1"/>
  <c r="E19" i="1"/>
  <c r="G19" i="1" s="1"/>
  <c r="F25" i="1"/>
  <c r="E25" i="1"/>
  <c r="T1" i="12" l="1"/>
  <c r="H193" i="8"/>
  <c r="O193" i="8"/>
  <c r="G193" i="8"/>
  <c r="F193" i="8"/>
  <c r="P193" i="8"/>
  <c r="Q193" i="8"/>
  <c r="N193" i="8"/>
  <c r="S193" i="8"/>
  <c r="I193" i="8"/>
  <c r="S257" i="8"/>
  <c r="R257" i="8"/>
  <c r="M193" i="8"/>
  <c r="O257" i="8"/>
  <c r="Q257" i="8"/>
  <c r="P257" i="8"/>
  <c r="N257" i="8"/>
  <c r="A129" i="8"/>
  <c r="A384" i="8" s="1"/>
  <c r="N68" i="6"/>
  <c r="N90" i="6"/>
  <c r="P275" i="6"/>
  <c r="P213" i="6"/>
  <c r="N152" i="6"/>
  <c r="G43" i="1"/>
  <c r="G13" i="1"/>
  <c r="G7" i="1"/>
  <c r="G37" i="1"/>
  <c r="G25" i="1"/>
  <c r="G31" i="1"/>
  <c r="N155" i="6"/>
  <c r="N213" i="6" s="1"/>
</calcChain>
</file>

<file path=xl/sharedStrings.xml><?xml version="1.0" encoding="utf-8"?>
<sst xmlns="http://schemas.openxmlformats.org/spreadsheetml/2006/main" count="5764" uniqueCount="762">
  <si>
    <t>#customer</t>
  </si>
  <si>
    <t>CPLEX</t>
  </si>
  <si>
    <t>#parking</t>
  </si>
  <si>
    <t>#microhub</t>
  </si>
  <si>
    <t>2 -&gt; 6 -&gt; 22 -&gt; 27 -&gt; 25 -&gt; 8 -&gt; 10 -&gt; 3</t>
  </si>
  <si>
    <t>2 -&gt; 9 -&gt; 7 -&gt; 29 -&gt; 28 -&gt; 19 -&gt; 2</t>
  </si>
  <si>
    <t>3 -&gt; 12 -&gt; 21 -&gt; 13 -&gt; 18 -&gt; 3</t>
  </si>
  <si>
    <t>3 -&gt; 14 -&gt; 23 -&gt; 16 -&gt; 17 -&gt; 20 -&gt; 3</t>
  </si>
  <si>
    <t>3 -&gt; 15 -&gt; 26 -&gt; 24 -&gt; 3- -&gt; 11 -&gt; 2</t>
  </si>
  <si>
    <t>1 -&gt; 2 -&gt; 4 -&gt; 3 -&gt; 1</t>
  </si>
  <si>
    <t>AVG</t>
  </si>
  <si>
    <t>&gt;2179</t>
  </si>
  <si>
    <t>B&amp;P v1.2</t>
  </si>
  <si>
    <t>B&amp;P_v1.1</t>
  </si>
  <si>
    <t>improvement</t>
  </si>
  <si>
    <t>B&amp;P_v2.1</t>
  </si>
  <si>
    <t>2 -&gt; 22 -&gt; 15 -&gt; 18 -&gt; 20 -&gt; 6 -&gt; 2 is : 53.26</t>
  </si>
  <si>
    <t>2 -&gt; 26 -&gt; 25 -&gt; 11 -&gt; 8 -&gt; 19 -&gt; 16 -&gt; 3 is : 77.15</t>
  </si>
  <si>
    <t>2 -&gt; 28 -&gt; 34 -&gt; 13 -&gt; 14 -&gt; 21 -&gt; 2 is : 53.19</t>
  </si>
  <si>
    <t>2 -&gt; 29 -&gt; 23 -&gt; 33 -&gt; 2 is : 16.23</t>
  </si>
  <si>
    <t>3 -&gt; 31 -&gt; 32 -&gt; 12 -&gt; 27 -&gt; 24 -&gt; 30 -&gt; 10 -&gt; 2 is : 94.71</t>
  </si>
  <si>
    <t>3 -&gt; 35 -&gt; 17 -&gt; 7 -&gt; 9 -&gt; 3 is : 18.26</t>
  </si>
  <si>
    <t>B&amp;P v2.2</t>
  </si>
  <si>
    <t>#seed</t>
  </si>
  <si>
    <t>opt</t>
  </si>
  <si>
    <t>f1 (s)</t>
  </si>
  <si>
    <t>f2 (s)</t>
  </si>
  <si>
    <t>BAP</t>
  </si>
  <si>
    <t># cpu = 10</t>
  </si>
  <si>
    <t># cpu = 20</t>
  </si>
  <si>
    <t># cpu = 30</t>
  </si>
  <si>
    <t># cpu = 40</t>
  </si>
  <si>
    <t> method</t>
  </si>
  <si>
    <t>03-02-2026-01-23</t>
  </si>
  <si>
    <t>bp</t>
  </si>
  <si>
    <t>03-02-2026-01-26</t>
  </si>
  <si>
    <t>c</t>
  </si>
  <si>
    <t>03-02-2026-01-27</t>
  </si>
  <si>
    <t> fileName</t>
  </si>
  <si>
    <t> #c</t>
  </si>
  <si>
    <t> #parking</t>
  </si>
  <si>
    <t> #mm</t>
  </si>
  <si>
    <t> #sev</t>
  </si>
  <si>
    <t> time</t>
  </si>
  <si>
    <t>ce1-2,3,15</t>
  </si>
  <si>
    <t>ce1-3,5,15</t>
  </si>
  <si>
    <t>ce1-6,4,15</t>
  </si>
  <si>
    <t>ce2-2,3,15</t>
  </si>
  <si>
    <t>ce2-3,5,15</t>
  </si>
  <si>
    <t>ce2-6,4,15</t>
  </si>
  <si>
    <t>ce3-2,3,15</t>
  </si>
  <si>
    <t>ce3-3,5,15</t>
  </si>
  <si>
    <t>ce3-6,4,15</t>
  </si>
  <si>
    <t>ce4-2,3,15</t>
  </si>
  <si>
    <t>ce4-3,5,15</t>
  </si>
  <si>
    <t>03-02-2026-01-25</t>
  </si>
  <si>
    <t>03-02-2026-01-24</t>
  </si>
  <si>
    <t>ce4-6,4,15</t>
  </si>
  <si>
    <t>ce5-2,3,15</t>
  </si>
  <si>
    <t>ce5-3,5,15</t>
  </si>
  <si>
    <t>ce5-6,4,15</t>
  </si>
  <si>
    <t>cf1-2,3,15</t>
  </si>
  <si>
    <t>cf1-3,5,15</t>
  </si>
  <si>
    <t>cf1-6,4,15</t>
  </si>
  <si>
    <t>cf2-2,3,15</t>
  </si>
  <si>
    <t>cf2-3,5,15</t>
  </si>
  <si>
    <t>cf2-6,4,15</t>
  </si>
  <si>
    <t>cf3-2,3,15</t>
  </si>
  <si>
    <t>cf3-3,5,15</t>
  </si>
  <si>
    <t>cf3-6,4,15</t>
  </si>
  <si>
    <t>cf4-2,3,15</t>
  </si>
  <si>
    <t>cf4-3,5,15</t>
  </si>
  <si>
    <t>cf4-6,4,15</t>
  </si>
  <si>
    <t>cf5-2,3,15</t>
  </si>
  <si>
    <t>cf5-3,5,15</t>
  </si>
  <si>
    <t>cf5-6,4,15</t>
  </si>
  <si>
    <t>cg1-2,3,15</t>
  </si>
  <si>
    <t>cg1-3,5,15</t>
  </si>
  <si>
    <t>cg1-6,4,15</t>
  </si>
  <si>
    <t>cg2-2,3,15</t>
  </si>
  <si>
    <t>cg2-3,5,15</t>
  </si>
  <si>
    <t>cg2-6,4,15</t>
  </si>
  <si>
    <t>cg3-2,3,15</t>
  </si>
  <si>
    <t>cg3-3,5,15</t>
  </si>
  <si>
    <t>cg3-6,4,15</t>
  </si>
  <si>
    <t>cg4-2,3,15</t>
  </si>
  <si>
    <t>cg4-3,5,15</t>
  </si>
  <si>
    <t>cg4-6,4,15</t>
  </si>
  <si>
    <t>cg5-2,3,15</t>
  </si>
  <si>
    <t>cg5-3,5,15</t>
  </si>
  <si>
    <t>cg5-6,4,15</t>
  </si>
  <si>
    <t>ci1-2,3,15</t>
  </si>
  <si>
    <t>ci1-3,5,15</t>
  </si>
  <si>
    <t>ci1-6,4,15</t>
  </si>
  <si>
    <t>ci2-2,3,15</t>
  </si>
  <si>
    <t>ci2-3,5,15</t>
  </si>
  <si>
    <t>ci2-6,4,15</t>
  </si>
  <si>
    <t>ci3-2,3,15</t>
  </si>
  <si>
    <t>ci3-3,5,15</t>
  </si>
  <si>
    <t>ci3-6,4,15</t>
  </si>
  <si>
    <t>ci4-2,3,15</t>
  </si>
  <si>
    <t>ci4-3,5,15</t>
  </si>
  <si>
    <t>ci4-6,4,15</t>
  </si>
  <si>
    <t>ci5-2,3,15</t>
  </si>
  <si>
    <t>ci5-3,5,15</t>
  </si>
  <si>
    <t>ce1-2,3,20</t>
  </si>
  <si>
    <t>ce2-2,3,20</t>
  </si>
  <si>
    <t>ce3-2,3,20</t>
  </si>
  <si>
    <t>ce4-2,3,20</t>
  </si>
  <si>
    <t>ce5-2,3,20</t>
  </si>
  <si>
    <t>cf1-2,3,20</t>
  </si>
  <si>
    <t>cf2-2,3,20</t>
  </si>
  <si>
    <t>cf3-2,3,20</t>
  </si>
  <si>
    <t>cf4-2,3,20</t>
  </si>
  <si>
    <t>cf5-2,3,20</t>
  </si>
  <si>
    <t>cg1-2,3,20</t>
  </si>
  <si>
    <t>03-02-2026-01-28</t>
  </si>
  <si>
    <t>cg2-2,3,20</t>
  </si>
  <si>
    <t>cg3-2,3,20</t>
  </si>
  <si>
    <t>cg4-2,3,20</t>
  </si>
  <si>
    <t>cg5-2,3,20</t>
  </si>
  <si>
    <t>ci1-2,3,20</t>
  </si>
  <si>
    <t>ci2-2,3,20</t>
  </si>
  <si>
    <t>ci3-2,3,20</t>
  </si>
  <si>
    <t>ci4-2,3,20</t>
  </si>
  <si>
    <t>ci5-2,3,20</t>
  </si>
  <si>
    <t>03-02-2026-01-47</t>
  </si>
  <si>
    <t>ce1-2,3,30</t>
  </si>
  <si>
    <t>ce1-3,5,30</t>
  </si>
  <si>
    <t>03-02-2026-01-49</t>
  </si>
  <si>
    <t>ce1-6,4,30</t>
  </si>
  <si>
    <t>03-02-2026-01-33</t>
  </si>
  <si>
    <t>ce2-2,3,30</t>
  </si>
  <si>
    <t>ce2-3,5,30</t>
  </si>
  <si>
    <t>03-02-2026-01-29</t>
  </si>
  <si>
    <t>ce2-6,4,30</t>
  </si>
  <si>
    <t>ce3-2,3,30</t>
  </si>
  <si>
    <t>03-02-2026-01-41</t>
  </si>
  <si>
    <t>ce3-3,5,30</t>
  </si>
  <si>
    <t>ce3-6,4,30</t>
  </si>
  <si>
    <t>ce4-2,3,30</t>
  </si>
  <si>
    <t>ce4-3,5,30</t>
  </si>
  <si>
    <t>ce4-6,4,30</t>
  </si>
  <si>
    <t>ce5-2,3,30</t>
  </si>
  <si>
    <t>ce5-3,5,30</t>
  </si>
  <si>
    <t>ce5-6,4,30</t>
  </si>
  <si>
    <t>03-02-2026-02-47</t>
  </si>
  <si>
    <t>cf1-2,3,30</t>
  </si>
  <si>
    <t>cf1-3,5,30</t>
  </si>
  <si>
    <t>cf1-6,4,30</t>
  </si>
  <si>
    <t>03-02-2026-01-58</t>
  </si>
  <si>
    <t>cf2-2,3,30</t>
  </si>
  <si>
    <t>cf2-3,5,30</t>
  </si>
  <si>
    <t>cf2-6,4,30</t>
  </si>
  <si>
    <t>cf3-2,3,30</t>
  </si>
  <si>
    <t>cf3-3,5,30</t>
  </si>
  <si>
    <t>cf3-6,4,30</t>
  </si>
  <si>
    <t>cf4-2,3,30</t>
  </si>
  <si>
    <t>cf4-3,5,30</t>
  </si>
  <si>
    <t>cf4-6,4,30</t>
  </si>
  <si>
    <t>03-02-2026-01-30</t>
  </si>
  <si>
    <t>cf5-2,3,30</t>
  </si>
  <si>
    <t>cf5-3,5,30</t>
  </si>
  <si>
    <t>cf5-6,4,30</t>
  </si>
  <si>
    <t>cg1-2,3,30</t>
  </si>
  <si>
    <t>cg1-3,5,30</t>
  </si>
  <si>
    <t>03-02-2026-01-35</t>
  </si>
  <si>
    <t>cg1-6,4,30</t>
  </si>
  <si>
    <t>cg2-2,3,30</t>
  </si>
  <si>
    <t>03-02-2026-01-32</t>
  </si>
  <si>
    <t>cg2-3,5,30</t>
  </si>
  <si>
    <t>cg2-6,4,30</t>
  </si>
  <si>
    <t>cg3-2,3,30</t>
  </si>
  <si>
    <t>03-02-2026-01-36</t>
  </si>
  <si>
    <t>cg3-3,5,30</t>
  </si>
  <si>
    <t>cg3-6,4,30</t>
  </si>
  <si>
    <t>cg4-2,3,30</t>
  </si>
  <si>
    <t>cg4-3,5,30</t>
  </si>
  <si>
    <t>03-02-2026-01-42</t>
  </si>
  <si>
    <t>cg4-6,4,30</t>
  </si>
  <si>
    <t>cg5-2,3,30</t>
  </si>
  <si>
    <t>03-02-2026-01-34</t>
  </si>
  <si>
    <t>cg5-3,5,30</t>
  </si>
  <si>
    <t>cg5-6,4,30</t>
  </si>
  <si>
    <t>ci1-2,3,30</t>
  </si>
  <si>
    <t>ci1-3,5,30</t>
  </si>
  <si>
    <t>ci1-6,4,30</t>
  </si>
  <si>
    <t>ci2-2,3,30</t>
  </si>
  <si>
    <t>ci2-3,5,30</t>
  </si>
  <si>
    <t>ci2-6,4,30</t>
  </si>
  <si>
    <t>ci3-2,3,30</t>
  </si>
  <si>
    <t>ci3-3,5,30</t>
  </si>
  <si>
    <t>ci3-6,4,30</t>
  </si>
  <si>
    <t>ci4-2,3,30</t>
  </si>
  <si>
    <t>ci4-3,5,30</t>
  </si>
  <si>
    <t>ci4-6,4,30</t>
  </si>
  <si>
    <t>03-02-2026-01-31</t>
  </si>
  <si>
    <t>ci5-2,3,30</t>
  </si>
  <si>
    <t>ci5-3,5,30</t>
  </si>
  <si>
    <t>03-02-2026-01-40</t>
  </si>
  <si>
    <t>ci5-6,4,30</t>
  </si>
  <si>
    <t>03-02-2026-01-38</t>
  </si>
  <si>
    <t>ce1-2,3,50</t>
  </si>
  <si>
    <t>03-02-2026-02-18</t>
  </si>
  <si>
    <t>ce1-3,5,50</t>
  </si>
  <si>
    <t>03-02-2026-01-44</t>
  </si>
  <si>
    <t>ce1-6,4,50</t>
  </si>
  <si>
    <t>ce2-2,3,50</t>
  </si>
  <si>
    <t>ce2-3,5,50</t>
  </si>
  <si>
    <t>03-02-2026-02-23</t>
  </si>
  <si>
    <t>ce2-6,4,50</t>
  </si>
  <si>
    <t>03-02-2026-02-22</t>
  </si>
  <si>
    <t>03-02-2026-04-54</t>
  </si>
  <si>
    <t>ce3-2,3,50</t>
  </si>
  <si>
    <t>03-02-2026-03-54</t>
  </si>
  <si>
    <t>ce3-3,5,50</t>
  </si>
  <si>
    <t>03-02-2026-03-57</t>
  </si>
  <si>
    <t>ce3-6,4,50</t>
  </si>
  <si>
    <t>03-02-2026-02-00</t>
  </si>
  <si>
    <t>ce4-2,3,50</t>
  </si>
  <si>
    <t>03-02-2026-02-05</t>
  </si>
  <si>
    <t>ce4-3,5,50</t>
  </si>
  <si>
    <t>03-02-2026-01-51</t>
  </si>
  <si>
    <t>ce4-6,4,50</t>
  </si>
  <si>
    <t>03-02-2026-01-45</t>
  </si>
  <si>
    <t>ce5-2,3,50</t>
  </si>
  <si>
    <t>ce5-3,5,50</t>
  </si>
  <si>
    <t>03-02-2026-04-00</t>
  </si>
  <si>
    <t>ce5-6,4,50</t>
  </si>
  <si>
    <t>03-02-2026-01-54</t>
  </si>
  <si>
    <t>03-02-2026-04-46</t>
  </si>
  <si>
    <t>cf1-3,5,50</t>
  </si>
  <si>
    <t>cf1-6,4,50</t>
  </si>
  <si>
    <t>03-02-2026-04-26</t>
  </si>
  <si>
    <t>03-02-2026-02-24</t>
  </si>
  <si>
    <t>cf2-2,3,50</t>
  </si>
  <si>
    <t>03-02-2026-02-12</t>
  </si>
  <si>
    <t>cf2-3,5,50</t>
  </si>
  <si>
    <t>03-02-2026-03-31</t>
  </si>
  <si>
    <t>03-02-2026-02-39</t>
  </si>
  <si>
    <t>cf2-6,4,50</t>
  </si>
  <si>
    <t>cf3-2,3,50</t>
  </si>
  <si>
    <t>03-02-2026-01-56</t>
  </si>
  <si>
    <t>cf3-3,5,50</t>
  </si>
  <si>
    <t>cf3-6,4,50</t>
  </si>
  <si>
    <t>cf4-2,3,50</t>
  </si>
  <si>
    <t>03-02-2026-01-50</t>
  </si>
  <si>
    <t>cf4-3,5,50</t>
  </si>
  <si>
    <t>03-02-2026-02-16</t>
  </si>
  <si>
    <t>cf4-6,4,50</t>
  </si>
  <si>
    <t>03-02-2026-04-24</t>
  </si>
  <si>
    <t>cf5-2,3,50</t>
  </si>
  <si>
    <t>03-02-2026-05-20</t>
  </si>
  <si>
    <t>cf5-3,5,50</t>
  </si>
  <si>
    <t>03-02-2026-02-07</t>
  </si>
  <si>
    <t>cf5-6,4,50</t>
  </si>
  <si>
    <t>03-02-2026-02-03</t>
  </si>
  <si>
    <t>cg1-2,3,50</t>
  </si>
  <si>
    <t>03-02-2026-02-40</t>
  </si>
  <si>
    <t>03-02-2026-04-35</t>
  </si>
  <si>
    <t>cg1-3,5,50</t>
  </si>
  <si>
    <t>cg1-6,4,50</t>
  </si>
  <si>
    <t>cg2-2,3,50</t>
  </si>
  <si>
    <t>cg2-3,5,50</t>
  </si>
  <si>
    <t>cg2-6,4,50</t>
  </si>
  <si>
    <t>cg3-3,5,50</t>
  </si>
  <si>
    <t>03-02-2026-04-57</t>
  </si>
  <si>
    <t>cg3-6,4,50</t>
  </si>
  <si>
    <t>cg4-2,3,50</t>
  </si>
  <si>
    <t>03-02-2026-03-04</t>
  </si>
  <si>
    <t>cg4-3,5,50</t>
  </si>
  <si>
    <t>cg4-6,4,50</t>
  </si>
  <si>
    <t>03-02-2026-03-18</t>
  </si>
  <si>
    <t>cg5-2,3,50</t>
  </si>
  <si>
    <t>03-02-2026-02-01</t>
  </si>
  <si>
    <t>cg5-3,5,50</t>
  </si>
  <si>
    <t>03-02-2026-04-25</t>
  </si>
  <si>
    <t>cg5-6,4,50</t>
  </si>
  <si>
    <t>ci1-2,3,50</t>
  </si>
  <si>
    <t>ci1-3,5,50</t>
  </si>
  <si>
    <t>ci1-6,4,50</t>
  </si>
  <si>
    <t>03-02-2026-04-22</t>
  </si>
  <si>
    <t>ci2-2,3,50</t>
  </si>
  <si>
    <t>03-02-2026-02-09</t>
  </si>
  <si>
    <t>03-02-2026-02-54</t>
  </si>
  <si>
    <t>ci2-3,5,50</t>
  </si>
  <si>
    <t>03-02-2026-01-37</t>
  </si>
  <si>
    <t>03-02-2026-01-43</t>
  </si>
  <si>
    <t>ci2-6,4,50</t>
  </si>
  <si>
    <t>ci3-2,3,50</t>
  </si>
  <si>
    <t>ci3-3,5,50</t>
  </si>
  <si>
    <t>03-02-2026-03-43</t>
  </si>
  <si>
    <t>ci3-6,4,50</t>
  </si>
  <si>
    <t>ci4-2,3,50</t>
  </si>
  <si>
    <t>ci4-3,5,50</t>
  </si>
  <si>
    <t>03-02-2026-01-53</t>
  </si>
  <si>
    <t>ci4-6,4,50</t>
  </si>
  <si>
    <t>ci5-2,3,50</t>
  </si>
  <si>
    <t>ci5-3,5,50</t>
  </si>
  <si>
    <t>03-02-2026-02-46</t>
  </si>
  <si>
    <t>ci5-6,4,50</t>
  </si>
  <si>
    <t>ce1-2,3,100</t>
  </si>
  <si>
    <t>03-02-2026-04-27</t>
  </si>
  <si>
    <t>ce1-3,5,100</t>
  </si>
  <si>
    <t>ce1-6,4,100</t>
  </si>
  <si>
    <t>ce2-3,5,100</t>
  </si>
  <si>
    <t>ce2-6,4,100</t>
  </si>
  <si>
    <t>ce3-2,3,100</t>
  </si>
  <si>
    <t>ce3-3,5,100</t>
  </si>
  <si>
    <t>ce3-6,4,100</t>
  </si>
  <si>
    <t>ce4-2,3,100</t>
  </si>
  <si>
    <t>ce5-2,3,100</t>
  </si>
  <si>
    <t>ce5-3,5,100</t>
  </si>
  <si>
    <t>ce5-6,4,100</t>
  </si>
  <si>
    <t>cf1-3,5,100</t>
  </si>
  <si>
    <t>cf3-6,4,100</t>
  </si>
  <si>
    <t>cf4-3,5,100</t>
  </si>
  <si>
    <t>cg1-3,5,100</t>
  </si>
  <si>
    <t>cg1-6,4,100</t>
  </si>
  <si>
    <t>cg2-2,3,100</t>
  </si>
  <si>
    <t>cg2-3,5,100</t>
  </si>
  <si>
    <t>ci1-2,3,100</t>
  </si>
  <si>
    <t>ci1-3,5,100</t>
  </si>
  <si>
    <t>ci1-6,4,100</t>
  </si>
  <si>
    <t>ci2-3,5,100</t>
  </si>
  <si>
    <t>ci2-6,4,100</t>
  </si>
  <si>
    <t>ci3-2,3,100</t>
  </si>
  <si>
    <t>ci3-3,5,100</t>
  </si>
  <si>
    <t>ci3-6,4,100</t>
  </si>
  <si>
    <t>ci4-2,3,100</t>
  </si>
  <si>
    <t>ci4-3,5,100</t>
  </si>
  <si>
    <t>ci5-2,3,100</t>
  </si>
  <si>
    <t>ci5-6,4,100</t>
  </si>
  <si>
    <t>/</t>
  </si>
  <si>
    <t> objValue</t>
  </si>
  <si>
    <t> gap</t>
  </si>
  <si>
    <t>timeStamp</t>
  </si>
  <si>
    <t>compact</t>
  </si>
  <si>
    <t>branch&amp;price</t>
  </si>
  <si>
    <t>#c</t>
  </si>
  <si>
    <t>cf1-2,3,50</t>
  </si>
  <si>
    <t>cg3-2,3,50</t>
  </si>
  <si>
    <t>ce2-2,3,100</t>
  </si>
  <si>
    <t>ce4-3,5,100</t>
  </si>
  <si>
    <t>ce4-6,4,100</t>
  </si>
  <si>
    <t>cf1-2,3,100</t>
  </si>
  <si>
    <t>cf1-6,4,100</t>
  </si>
  <si>
    <t>cf3-2,3,100</t>
  </si>
  <si>
    <t>cf3-3,5,100</t>
  </si>
  <si>
    <t>cf4-2,3,100</t>
  </si>
  <si>
    <t>cf4-6,4,100</t>
  </si>
  <si>
    <t>cf5-2,3,100</t>
  </si>
  <si>
    <t>cf5-3,5,100</t>
  </si>
  <si>
    <t>cf5-6,4,100</t>
  </si>
  <si>
    <t>cg1-2,3,100</t>
  </si>
  <si>
    <t>cg2-6,4,100</t>
  </si>
  <si>
    <t>cg3-2,3,100</t>
  </si>
  <si>
    <t>cg3-3,5,100</t>
  </si>
  <si>
    <t>cg3-6,4,100</t>
  </si>
  <si>
    <t>cg4-2,3,100</t>
  </si>
  <si>
    <t>cg4-3,5,100</t>
  </si>
  <si>
    <t>cg4-6,4,100</t>
  </si>
  <si>
    <t>cg5-2,3,100</t>
  </si>
  <si>
    <t>cg5-3,5,100</t>
  </si>
  <si>
    <t>cg5-6,4,100</t>
  </si>
  <si>
    <t>ci2-2,3,100</t>
  </si>
  <si>
    <t>ci4-6,4,100</t>
  </si>
  <si>
    <t>ci5-3,5,100</t>
  </si>
  <si>
    <t>cf2-2,3,100</t>
  </si>
  <si>
    <t>cf2-3,5,100</t>
  </si>
  <si>
    <t>cf2-6,4,100</t>
  </si>
  <si>
    <t>(obj value)</t>
  </si>
  <si>
    <t>Instance</t>
  </si>
  <si>
    <t>value</t>
  </si>
  <si>
    <t>cplex time</t>
  </si>
  <si>
    <t>bp time</t>
  </si>
  <si>
    <t>#opt. win</t>
  </si>
  <si>
    <t># exe. win</t>
  </si>
  <si>
    <t>#Obj. win</t>
  </si>
  <si>
    <t>#Obj. loss</t>
  </si>
  <si>
    <t>#Obj. Equ</t>
  </si>
  <si>
    <t>#opt. loss</t>
  </si>
  <si>
    <t>#opt Equ</t>
  </si>
  <si>
    <t>CPLEX_1</t>
  </si>
  <si>
    <t>CPLEX_2</t>
  </si>
  <si>
    <t>Value</t>
  </si>
  <si>
    <t>Gap</t>
  </si>
  <si>
    <t>BAP_1</t>
  </si>
  <si>
    <t>BAP_2</t>
  </si>
  <si>
    <t>BAP_3</t>
  </si>
  <si>
    <t>CPLEX_3</t>
  </si>
  <si>
    <t>precompile</t>
  </si>
  <si>
    <t>cg</t>
  </si>
  <si>
    <t>ce1-2,3,75</t>
  </si>
  <si>
    <t>ce1-3,5,75</t>
  </si>
  <si>
    <t>ce1-6,4,75</t>
  </si>
  <si>
    <t>ce2-2,3,75</t>
  </si>
  <si>
    <t>ce2-3,5,75</t>
  </si>
  <si>
    <t>ce2-6,4,75</t>
  </si>
  <si>
    <t>ce3-2,3,75</t>
  </si>
  <si>
    <t>ce3-3,5,75</t>
  </si>
  <si>
    <t>ce3-6,4,75</t>
  </si>
  <si>
    <t>ce4-2,3,75</t>
  </si>
  <si>
    <t>ce4-3,5,75</t>
  </si>
  <si>
    <t>ce4-6,4,75</t>
  </si>
  <si>
    <t>ce5-2,3,75</t>
  </si>
  <si>
    <t>ce5-3,5,75</t>
  </si>
  <si>
    <t>ce5-6,4,75</t>
  </si>
  <si>
    <t>cf1-2,3,75</t>
  </si>
  <si>
    <t>cf1-3,5,75</t>
  </si>
  <si>
    <t>cf1-6,4,75</t>
  </si>
  <si>
    <t>cf2-2,3,75</t>
  </si>
  <si>
    <t>cf2-3,5,75</t>
  </si>
  <si>
    <t>cf2-6,4,75</t>
  </si>
  <si>
    <t>cf3-2,3,75</t>
  </si>
  <si>
    <t>cf3-3,5,75</t>
  </si>
  <si>
    <t>cf3-6,4,75</t>
  </si>
  <si>
    <t>cf4-2,3,75</t>
  </si>
  <si>
    <t>cf4-3,5,75</t>
  </si>
  <si>
    <t>cf4-6,4,75</t>
  </si>
  <si>
    <t>cf5-2,3,75</t>
  </si>
  <si>
    <t>cf5-3,5,75</t>
  </si>
  <si>
    <t>cf5-6,4,75</t>
  </si>
  <si>
    <t>cg1-2,3,75</t>
  </si>
  <si>
    <t>cg1-3,5,75</t>
  </si>
  <si>
    <t>cg1-6,4,75</t>
  </si>
  <si>
    <t>cg2-2,3,75</t>
  </si>
  <si>
    <t>cg2-3,5,75</t>
  </si>
  <si>
    <t>cg2-6,4,75</t>
  </si>
  <si>
    <t>cg3-2,3,75</t>
  </si>
  <si>
    <t>cg3-3,5,75</t>
  </si>
  <si>
    <t>cg3-6,4,75</t>
  </si>
  <si>
    <t>cg4-2,3,75</t>
  </si>
  <si>
    <t>cg4-3,5,75</t>
  </si>
  <si>
    <t>cg4-6,4,75</t>
  </si>
  <si>
    <t>cg5-2,3,75</t>
  </si>
  <si>
    <t>cg5-3,5,75</t>
  </si>
  <si>
    <t>cg5-6,4,75</t>
  </si>
  <si>
    <t>ci1-2,3,75</t>
  </si>
  <si>
    <t>ci1-3,5,75</t>
  </si>
  <si>
    <t>ci1-6,4,75</t>
  </si>
  <si>
    <t>ci2-2,3,75</t>
  </si>
  <si>
    <t>ci2-3,5,75</t>
  </si>
  <si>
    <t>ci2-6,4,75</t>
  </si>
  <si>
    <t>ci3-2,3,75</t>
  </si>
  <si>
    <t>ci3-3,5,75</t>
  </si>
  <si>
    <t>ci3-6,4,75</t>
  </si>
  <si>
    <t>ci4-2,3,75</t>
  </si>
  <si>
    <t>ci4-3,5,75</t>
  </si>
  <si>
    <t>ci4-6,4,75</t>
  </si>
  <si>
    <t>ci5-2,3,75</t>
  </si>
  <si>
    <t>ci5-3,5,75</t>
  </si>
  <si>
    <t>ci5-6,4,75</t>
  </si>
  <si>
    <t>missing</t>
  </si>
  <si>
    <t>no feasible solution</t>
  </si>
  <si>
    <t>ci5-6,4,15</t>
  </si>
  <si>
    <t>0 / 51 / 9</t>
  </si>
  <si>
    <t>7 / 53 / 0</t>
  </si>
  <si>
    <t>32 / 28 / 0</t>
  </si>
  <si>
    <t>57 / 3 / 0</t>
  </si>
  <si>
    <t>25 / 35 / 0</t>
  </si>
  <si>
    <t>CPELX</t>
  </si>
  <si>
    <t>CLEX</t>
  </si>
  <si>
    <t>incumbent</t>
  </si>
  <si>
    <t>Opt.</t>
  </si>
  <si>
    <t>#P</t>
  </si>
  <si>
    <t>#M</t>
  </si>
  <si>
    <t>#K2</t>
  </si>
  <si>
    <t>Status</t>
  </si>
  <si>
    <t>O</t>
  </si>
  <si>
    <t>F</t>
  </si>
  <si>
    <t>Baseline</t>
  </si>
  <si>
    <t>ce1-3,5,20</t>
  </si>
  <si>
    <t>ce1-6,4,20</t>
  </si>
  <si>
    <t>ce2-3,5,20</t>
  </si>
  <si>
    <t>ce2-6,4,20</t>
  </si>
  <si>
    <t>ce3-3,5,20</t>
  </si>
  <si>
    <t>ce3-6,4,20</t>
  </si>
  <si>
    <t>ce4-3,5,20</t>
  </si>
  <si>
    <t>ce4-6,4,20</t>
  </si>
  <si>
    <t>ce5-3,5,20</t>
  </si>
  <si>
    <t>ce5-6,4,20</t>
  </si>
  <si>
    <t>cf1-3,5,20</t>
  </si>
  <si>
    <t>cf1-6,4,20</t>
  </si>
  <si>
    <t>cf2-3,5,20</t>
  </si>
  <si>
    <t>cf2-6,4,20</t>
  </si>
  <si>
    <t>cf3-3,5,20</t>
  </si>
  <si>
    <t>cf3-6,4,20</t>
  </si>
  <si>
    <t>cf4-3,5,20</t>
  </si>
  <si>
    <t>cf4-6,4,20</t>
  </si>
  <si>
    <t>cf5-3,5,20</t>
  </si>
  <si>
    <t>cf5-6,4,20</t>
  </si>
  <si>
    <t>cg1-3,5,20</t>
  </si>
  <si>
    <t>cg1-6,4,20</t>
  </si>
  <si>
    <t>cg2-3,5,20</t>
  </si>
  <si>
    <t>cg2-6,4,20</t>
  </si>
  <si>
    <t>cg3-3,5,20</t>
  </si>
  <si>
    <t>cg3-6,4,20</t>
  </si>
  <si>
    <t>cg4-3,5,20</t>
  </si>
  <si>
    <t>cg4-6,4,20</t>
  </si>
  <si>
    <t>cg5-3,5,20</t>
  </si>
  <si>
    <t>cg5-6,4,20</t>
  </si>
  <si>
    <t>ci1-3,5,20</t>
  </si>
  <si>
    <t>ci1-6,4,20</t>
  </si>
  <si>
    <t>ci2-3,5,20</t>
  </si>
  <si>
    <t>ci2-6,4,20</t>
  </si>
  <si>
    <t>ci3-3,5,20</t>
  </si>
  <si>
    <t>ci3-6,4,20</t>
  </si>
  <si>
    <t>ci4-3,5,20</t>
  </si>
  <si>
    <t>ci4-6,4,20</t>
  </si>
  <si>
    <t>ci5-3,5,20</t>
  </si>
  <si>
    <t>ci5-6,4,20</t>
  </si>
  <si>
    <t>s</t>
  </si>
  <si>
    <t>No</t>
  </si>
  <si>
    <t>bl</t>
  </si>
  <si>
    <t>02-06-2026-21-28</t>
  </si>
  <si>
    <t>02-06-2026-21-31</t>
  </si>
  <si>
    <t>02-06-2026-21-32</t>
  </si>
  <si>
    <t>11-05-2026-05-01</t>
  </si>
  <si>
    <t>11-05-2026-05-02</t>
  </si>
  <si>
    <t>11-05-2026-05-03</t>
  </si>
  <si>
    <t>11-05-2026-05-04</t>
  </si>
  <si>
    <t>30-07-2026-09-56-04-467</t>
  </si>
  <si>
    <t>30-07-2026-10-03-38-726</t>
  </si>
  <si>
    <t>30-07-2026-10-12-06-4</t>
  </si>
  <si>
    <t>23-08-2026-15-46-39-521</t>
  </si>
  <si>
    <t>30-07-2026-09-56-05-65</t>
  </si>
  <si>
    <t>30-07-2026-10-03-36-436</t>
  </si>
  <si>
    <t>30-07-2026-10-12-30-863</t>
  </si>
  <si>
    <t>23-08-2026-14-48-07-849</t>
  </si>
  <si>
    <t>30-07-2026-09-56-16-469</t>
  </si>
  <si>
    <t>30-07-2026-10-04-27-699</t>
  </si>
  <si>
    <t>30-07-2026-10-14-25-655</t>
  </si>
  <si>
    <t>23-08-2026-14-42-51-129</t>
  </si>
  <si>
    <t>30-07-2026-09-56-09-893</t>
  </si>
  <si>
    <t>30-07-2026-10-04-10-257</t>
  </si>
  <si>
    <t>30-07-2026-10-12-14-029</t>
  </si>
  <si>
    <t>23-08-2026-14-39-40-417</t>
  </si>
  <si>
    <t>30-07-2026-09-56-05-491</t>
  </si>
  <si>
    <t>30-07-2026-10-04-11-086</t>
  </si>
  <si>
    <t>30-07-2026-10-12-27-29</t>
  </si>
  <si>
    <t>23-08-2026-14-43-22-353</t>
  </si>
  <si>
    <t>30-07-2026-09-56-16-59</t>
  </si>
  <si>
    <t>30-07-2026-10-04-27-73</t>
  </si>
  <si>
    <t>30-07-2026-10-13-52-082</t>
  </si>
  <si>
    <t>23-08-2026-14-53-42-956</t>
  </si>
  <si>
    <t>30-07-2026-09-56-10-803</t>
  </si>
  <si>
    <t>30-07-2026-10-04-15-994</t>
  </si>
  <si>
    <t>30-07-2026-10-12-51-3</t>
  </si>
  <si>
    <t>23-08-2026-14-47-44-871</t>
  </si>
  <si>
    <t>30-07-2026-09-57-08-633</t>
  </si>
  <si>
    <t>30-07-2026-10-04-35-745</t>
  </si>
  <si>
    <t>30-07-2026-10-14-13-307</t>
  </si>
  <si>
    <t>23-08-2026-15-20-51-101</t>
  </si>
  <si>
    <t>30-07-2026-09-57-15-902</t>
  </si>
  <si>
    <t>30-07-2026-10-04-48-57</t>
  </si>
  <si>
    <t>30-07-2026-10-14-48-956</t>
  </si>
  <si>
    <t>23-08-2026-15-02-45-693</t>
  </si>
  <si>
    <t>30-07-2026-09-57-04-334</t>
  </si>
  <si>
    <t>30-07-2026-10-04-54-313</t>
  </si>
  <si>
    <t>30-07-2026-10-13-25-429</t>
  </si>
  <si>
    <t>23-08-2026-14-58-53-599</t>
  </si>
  <si>
    <t>30-07-2026-09-57-08-667</t>
  </si>
  <si>
    <t>30-07-2026-10-05-02-23</t>
  </si>
  <si>
    <t>30-07-2026-10-14-12-986</t>
  </si>
  <si>
    <t>23-08-2026-15-07-08-907</t>
  </si>
  <si>
    <t>30-07-2026-09-57-14-635</t>
  </si>
  <si>
    <t>30-07-2026-10-05-14-365</t>
  </si>
  <si>
    <t>30-07-2026-10-15-22-757</t>
  </si>
  <si>
    <t>23-08-2026-15-10-20-148</t>
  </si>
  <si>
    <t>30-07-2026-09-57-10-651</t>
  </si>
  <si>
    <t>30-07-2026-10-05-16-978</t>
  </si>
  <si>
    <t>30-07-2026-10-13-26-03</t>
  </si>
  <si>
    <t>23-08-2026-15-10-04-512</t>
  </si>
  <si>
    <t>30-07-2026-09-57-09-118</t>
  </si>
  <si>
    <t>30-07-2026-10-05-18-627</t>
  </si>
  <si>
    <t>30-07-2026-10-13-45-163</t>
  </si>
  <si>
    <t>23-08-2026-15-16-18-18</t>
  </si>
  <si>
    <t>30-07-2026-09-58-04-677</t>
  </si>
  <si>
    <t>30-07-2026-10-05-45-768</t>
  </si>
  <si>
    <t>30-07-2026-10-14-33-824</t>
  </si>
  <si>
    <t>23-08-2026-15-45-16-273</t>
  </si>
  <si>
    <t>30-07-2026-09-57-57-29</t>
  </si>
  <si>
    <t>30-07-2026-10-05-44-323</t>
  </si>
  <si>
    <t>30-07-2026-10-49-03-45</t>
  </si>
  <si>
    <t>23-08-2026-16-08-51-424</t>
  </si>
  <si>
    <t>30-07-2026-09-58-08-234</t>
  </si>
  <si>
    <t>30-07-2026-10-05-56-81</t>
  </si>
  <si>
    <t>30-07-2026-10-14-22-965</t>
  </si>
  <si>
    <t>23-08-2026-16-00-37-828</t>
  </si>
  <si>
    <t>30-07-2026-09-58-10-581</t>
  </si>
  <si>
    <t>30-07-2026-10-06-01-044</t>
  </si>
  <si>
    <t>30-07-2026-10-14-56-18</t>
  </si>
  <si>
    <t>23-08-2026-15-54-48-754</t>
  </si>
  <si>
    <t>30-07-2026-09-57-56-692</t>
  </si>
  <si>
    <t>30-07-2026-10-06-06-101</t>
  </si>
  <si>
    <t>30-07-2026-10-14-43-021</t>
  </si>
  <si>
    <t>23-08-2026-16-08-34-854</t>
  </si>
  <si>
    <t>30-07-2026-09-58-09-201</t>
  </si>
  <si>
    <t>30-07-2026-10-06-16-855</t>
  </si>
  <si>
    <t>30-07-2026-10-14-51-769</t>
  </si>
  <si>
    <t>23-08-2026-16-03-07-559</t>
  </si>
  <si>
    <t>30-07-2026-09-58-15-712</t>
  </si>
  <si>
    <t>30-07-2026-10-06-17-309</t>
  </si>
  <si>
    <t>30-07-2026-10-16-12-173</t>
  </si>
  <si>
    <t>23-08-2026-16-11-40-659</t>
  </si>
  <si>
    <t>30-07-2026-09-58-46-225</t>
  </si>
  <si>
    <t>30-07-2026-10-06-41-8</t>
  </si>
  <si>
    <t>30-07-2026-10-16-01-523</t>
  </si>
  <si>
    <t>23-08-2026-16-11-34-21</t>
  </si>
  <si>
    <t>30-07-2026-09-58-48-791</t>
  </si>
  <si>
    <t>30-07-2026-10-06-40-516</t>
  </si>
  <si>
    <t>30-07-2026-10-17-40-32</t>
  </si>
  <si>
    <t>23-08-2026-16-17-55-279</t>
  </si>
  <si>
    <t>30-07-2026-09-58-58-998</t>
  </si>
  <si>
    <t>30-07-2026-10-06-59-215</t>
  </si>
  <si>
    <t>30-07-2026-10-16-20-307</t>
  </si>
  <si>
    <t>23-08-2026-16-24-10-177</t>
  </si>
  <si>
    <t>30-07-2026-09-59-05-489</t>
  </si>
  <si>
    <t>30-07-2026-10-06-51-84</t>
  </si>
  <si>
    <t>30-07-2026-10-15-28-899</t>
  </si>
  <si>
    <t>23-08-2026-16-19-18-829</t>
  </si>
  <si>
    <t>30-07-2026-09-59-02-407</t>
  </si>
  <si>
    <t>30-07-2026-10-07-00-946</t>
  </si>
  <si>
    <t>30-07-2026-10-15-29-771</t>
  </si>
  <si>
    <t>23-08-2026-16-21-46-928</t>
  </si>
  <si>
    <t>30-07-2026-09-59-08-042</t>
  </si>
  <si>
    <t>30-07-2026-10-07-18-471</t>
  </si>
  <si>
    <t>30-07-2026-10-17-37-72</t>
  </si>
  <si>
    <t>23-08-2026-17-00-20-482</t>
  </si>
  <si>
    <t>30-07-2026-09-59-02-847</t>
  </si>
  <si>
    <t>30-07-2026-10-07-08-379</t>
  </si>
  <si>
    <t>30-07-2026-10-16-13-745</t>
  </si>
  <si>
    <t>23-08-2026-16-21-38-741</t>
  </si>
  <si>
    <t>30-07-2026-09-59-43-263</t>
  </si>
  <si>
    <t>30-07-2026-10-07-25-48</t>
  </si>
  <si>
    <t>30-07-2026-10-16-11-147</t>
  </si>
  <si>
    <t>23-08-2026-18-42-34-265</t>
  </si>
  <si>
    <t>30-07-2026-09-59-43-939</t>
  </si>
  <si>
    <t>30-07-2026-10-07-43-918</t>
  </si>
  <si>
    <t>30-07-2026-10-17-57-931</t>
  </si>
  <si>
    <t>23-08-2026-16-44-13-277</t>
  </si>
  <si>
    <t>30-07-2026-09-59-48-333</t>
  </si>
  <si>
    <t>30-07-2026-10-07-58-586</t>
  </si>
  <si>
    <t>30-07-2026-10-30-33-156</t>
  </si>
  <si>
    <t>23-08-2026-17-12-06-92</t>
  </si>
  <si>
    <t>30-07-2026-09-59-58-809</t>
  </si>
  <si>
    <t>30-07-2026-10-07-55-044</t>
  </si>
  <si>
    <t>30-07-2026-10-16-42-725</t>
  </si>
  <si>
    <t>23-08-2026-17-08-49-339</t>
  </si>
  <si>
    <t>30-07-2026-10-00-02-843</t>
  </si>
  <si>
    <t>30-07-2026-10-08-05-668</t>
  </si>
  <si>
    <t>30-07-2026-10-21-17-372</t>
  </si>
  <si>
    <t>30-07-2026-09-59-59-227</t>
  </si>
  <si>
    <t>30-07-2026-10-08-15-949</t>
  </si>
  <si>
    <t>30-07-2026-10-17-40-654</t>
  </si>
  <si>
    <t>23-08-2026-17-18-45-458</t>
  </si>
  <si>
    <t>30-07-2026-10-00-03-663</t>
  </si>
  <si>
    <t>30-07-2026-10-08-17-412</t>
  </si>
  <si>
    <t>30-07-2026-10-17-26-44</t>
  </si>
  <si>
    <t>23-08-2026-17-08-38-896</t>
  </si>
  <si>
    <t>30-07-2026-10-00-41-955</t>
  </si>
  <si>
    <t>30-07-2026-10-08-25-616</t>
  </si>
  <si>
    <t>30-07-2026-10-18-47-493</t>
  </si>
  <si>
    <t>23-08-2026-17-41-10-554</t>
  </si>
  <si>
    <t>30-07-2026-10-00-29-47</t>
  </si>
  <si>
    <t>30-07-2026-10-08-37-194</t>
  </si>
  <si>
    <t>30-07-2026-10-18-00-634</t>
  </si>
  <si>
    <t>23-08-2026-17-47-46-698</t>
  </si>
  <si>
    <t>30-07-2026-10-00-41-589</t>
  </si>
  <si>
    <t>30-07-2026-10-08-47-795</t>
  </si>
  <si>
    <t>30-07-2026-10-20-12-46</t>
  </si>
  <si>
    <t>23-08-2026-17-19-41-777</t>
  </si>
  <si>
    <t>30-07-2026-10-01-03-035</t>
  </si>
  <si>
    <t>30-07-2026-10-09-10-22</t>
  </si>
  <si>
    <t>30-07-2026-10-20-16-351</t>
  </si>
  <si>
    <t>23-08-2026-17-30-16-823</t>
  </si>
  <si>
    <t>30-07-2026-10-00-54-125</t>
  </si>
  <si>
    <t>30-07-2026-10-08-57-034</t>
  </si>
  <si>
    <t>30-07-2026-10-18-46-958</t>
  </si>
  <si>
    <t>30-07-2026-10-00-49-022</t>
  </si>
  <si>
    <t>30-07-2026-10-09-15-759</t>
  </si>
  <si>
    <t>30-07-2026-10-18-56-783</t>
  </si>
  <si>
    <t>23-08-2026-17-38-39-863</t>
  </si>
  <si>
    <t>30-07-2026-10-01-03-122</t>
  </si>
  <si>
    <t>30-07-2026-10-09-22-221</t>
  </si>
  <si>
    <t>30-07-2026-10-25-49-8</t>
  </si>
  <si>
    <t>23-08-2026-17-27-51-462</t>
  </si>
  <si>
    <t>30-07-2026-10-01-19-378</t>
  </si>
  <si>
    <t>30-07-2026-10-09-18-682</t>
  </si>
  <si>
    <t>30-07-2026-10-19-05-137</t>
  </si>
  <si>
    <t>23-08-2026-17-35-11-012</t>
  </si>
  <si>
    <t>30-07-2026-10-01-36-838</t>
  </si>
  <si>
    <t>30-07-2026-10-09-40-317</t>
  </si>
  <si>
    <t>30-07-2026-10-20-54-697</t>
  </si>
  <si>
    <t>23-08-2026-17-47-59-36</t>
  </si>
  <si>
    <t>30-07-2026-10-01-39-885</t>
  </si>
  <si>
    <t>30-07-2026-10-09-45-734</t>
  </si>
  <si>
    <t>30-07-2026-10-21-53-451</t>
  </si>
  <si>
    <t>23-08-2026-18-02-21-453</t>
  </si>
  <si>
    <t>30-07-2026-10-01-39-759</t>
  </si>
  <si>
    <t>30-07-2026-10-09-46-887</t>
  </si>
  <si>
    <t>30-07-2026-10-19-53-106</t>
  </si>
  <si>
    <t>23-08-2026-17-29-42-337</t>
  </si>
  <si>
    <t>30-07-2026-10-01-50-236</t>
  </si>
  <si>
    <t>30-07-2026-10-09-59-393</t>
  </si>
  <si>
    <t>30-07-2026-10-20-05-251</t>
  </si>
  <si>
    <t>23-08-2026-18-26-18-942</t>
  </si>
  <si>
    <t>30-07-2026-10-02-00-297</t>
  </si>
  <si>
    <t>30-07-2026-10-10-14-098</t>
  </si>
  <si>
    <t>30-07-2026-10-22-13-66</t>
  </si>
  <si>
    <t>23-08-2026-17-45-45-825</t>
  </si>
  <si>
    <t>30-07-2026-10-01-47-96</t>
  </si>
  <si>
    <t>30-07-2026-10-10-09-602</t>
  </si>
  <si>
    <t>30-07-2026-10-20-56-83</t>
  </si>
  <si>
    <t>23-08-2026-18-39-38-665</t>
  </si>
  <si>
    <t>30-07-2026-10-02-28-613</t>
  </si>
  <si>
    <t>30-07-2026-10-10-17-372</t>
  </si>
  <si>
    <t>30-07-2026-10-21-16-761</t>
  </si>
  <si>
    <t>23-08-2026-19-55-02-344</t>
  </si>
  <si>
    <t>30-07-2026-10-02-36-876</t>
  </si>
  <si>
    <t>30-07-2026-10-10-42-908</t>
  </si>
  <si>
    <t>30-07-2026-10-23-05-7</t>
  </si>
  <si>
    <t>23-08-2026-17-49-22-657</t>
  </si>
  <si>
    <t>30-07-2026-10-02-30-526</t>
  </si>
  <si>
    <t>30-07-2026-10-10-35-821</t>
  </si>
  <si>
    <t>30-07-2026-10-21-48-897</t>
  </si>
  <si>
    <t>23-08-2026-17-47-37-767</t>
  </si>
  <si>
    <t>30-07-2026-10-02-26-723</t>
  </si>
  <si>
    <t>30-07-2026-10-10-51-84</t>
  </si>
  <si>
    <t>30-07-2026-10-21-58-323</t>
  </si>
  <si>
    <t>30-07-2026-10-02-47-267</t>
  </si>
  <si>
    <t>30-07-2026-10-11-06-209</t>
  </si>
  <si>
    <t>30-07-2026-10-23-40-423</t>
  </si>
  <si>
    <t>23-08-2026-18-19-21-795</t>
  </si>
  <si>
    <t>30-07-2026-10-02-43-8</t>
  </si>
  <si>
    <t>30-07-2026-10-11-00-347</t>
  </si>
  <si>
    <t>30-07-2026-10-22-15-532</t>
  </si>
  <si>
    <t>23-08-2026-17-50-35-351</t>
  </si>
  <si>
    <t>30-07-2026-10-02-53-403</t>
  </si>
  <si>
    <t>30-07-2026-10-11-07-34</t>
  </si>
  <si>
    <t>30-07-2026-10-23-16-7</t>
  </si>
  <si>
    <t>23-08-2026-17-53-45-981</t>
  </si>
  <si>
    <t>30-07-2026-10-03-28-008</t>
  </si>
  <si>
    <t>30-07-2026-10-11-15-926</t>
  </si>
  <si>
    <t>30-07-2026-10-23-58-89</t>
  </si>
  <si>
    <t>23-08-2026-17-58-45-607</t>
  </si>
  <si>
    <t>30-07-2026-10-03-19-907</t>
  </si>
  <si>
    <t>30-07-2026-10-11-28-754</t>
  </si>
  <si>
    <t>30-07-2026-10-23-22-801</t>
  </si>
  <si>
    <t>23-08-2026-17-51-48-758</t>
  </si>
  <si>
    <t>30-07-2026-10-03-21-7</t>
  </si>
  <si>
    <t>30-07-2026-10-11-47-125</t>
  </si>
  <si>
    <t>30-07-2026-10-23-13-436</t>
  </si>
  <si>
    <t>23-08-2026-17-59-52-598</t>
  </si>
  <si>
    <t>30-07-2026-10-03-32-475</t>
  </si>
  <si>
    <t>30-07-2026-10-11-56-219</t>
  </si>
  <si>
    <t>30-07-2026-10-29-40-448</t>
  </si>
  <si>
    <t>23-08-2026-18-19-18-439</t>
  </si>
  <si>
    <t>#node casade</t>
  </si>
  <si>
    <t>#node cconly</t>
  </si>
  <si>
    <t>#node_caseC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</si>
</sst>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rgb="FF000000"/>
      <name val="Menlo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0" fillId="0" borderId="0" xfId="0" applyAlignment="1">
      <alignment horizontal="right"/>
    </xf>
    <xf numFmtId="0" fontId="1" fillId="3" borderId="1" xfId="0" applyFont="1" applyFill="1" applyBorder="1"/>
    <xf numFmtId="10" fontId="1" fillId="3" borderId="1" xfId="0" applyNumberFormat="1" applyFont="1" applyFill="1" applyBorder="1"/>
    <xf numFmtId="10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/>
    <xf numFmtId="9" fontId="5" fillId="0" borderId="0" xfId="1" applyFont="1" applyFill="1"/>
    <xf numFmtId="165" fontId="8" fillId="0" borderId="0" xfId="0" applyNumberFormat="1" applyFont="1"/>
    <xf numFmtId="0" fontId="8" fillId="0" borderId="0" xfId="0" applyFont="1"/>
    <xf numFmtId="9" fontId="4" fillId="0" borderId="0" xfId="1" applyFont="1" applyFill="1"/>
    <xf numFmtId="0" fontId="1" fillId="0" borderId="0" xfId="0" applyFont="1"/>
    <xf numFmtId="2" fontId="1" fillId="0" borderId="0" xfId="0" applyNumberFormat="1" applyFont="1"/>
    <xf numFmtId="0" fontId="7" fillId="0" borderId="0" xfId="0" applyFont="1"/>
    <xf numFmtId="165" fontId="9" fillId="0" borderId="0" xfId="0" quotePrefix="1" applyNumberFormat="1" applyFont="1"/>
    <xf numFmtId="0" fontId="9" fillId="0" borderId="0" xfId="0" quotePrefix="1" applyFont="1"/>
    <xf numFmtId="0" fontId="0" fillId="0" borderId="0" xfId="0" quotePrefix="1"/>
    <xf numFmtId="165" fontId="9" fillId="0" borderId="0" xfId="0" applyNumberFormat="1" applyFont="1"/>
    <xf numFmtId="0" fontId="9" fillId="0" borderId="0" xfId="0" applyFont="1"/>
    <xf numFmtId="9" fontId="0" fillId="0" borderId="0" xfId="1" applyFont="1" applyFill="1"/>
    <xf numFmtId="164" fontId="0" fillId="0" borderId="0" xfId="0" applyNumberFormat="1"/>
    <xf numFmtId="2" fontId="9" fillId="0" borderId="0" xfId="0" applyNumberFormat="1" applyFont="1"/>
    <xf numFmtId="0" fontId="6" fillId="0" borderId="0" xfId="0" applyFont="1"/>
    <xf numFmtId="9" fontId="6" fillId="0" borderId="0" xfId="1" applyFont="1" applyFill="1"/>
    <xf numFmtId="0" fontId="0" fillId="0" borderId="0" xfId="0" applyAlignment="1">
      <alignment vertical="center"/>
    </xf>
    <xf numFmtId="10" fontId="5" fillId="0" borderId="0" xfId="0" applyNumberFormat="1" applyFont="1"/>
    <xf numFmtId="10" fontId="4" fillId="0" borderId="0" xfId="0" applyNumberFormat="1" applyFont="1"/>
    <xf numFmtId="0" fontId="0" fillId="4" borderId="0" xfId="0" applyFill="1"/>
    <xf numFmtId="10" fontId="0" fillId="4" borderId="0" xfId="0" applyNumberFormat="1" applyFill="1"/>
    <xf numFmtId="0" fontId="4" fillId="4" borderId="0" xfId="0" applyFont="1" applyFill="1"/>
    <xf numFmtId="0" fontId="0" fillId="5" borderId="0" xfId="0" applyFill="1"/>
    <xf numFmtId="0" fontId="5" fillId="5" borderId="0" xfId="0" applyFont="1" applyFill="1"/>
    <xf numFmtId="0" fontId="4" fillId="5" borderId="0" xfId="0" applyFont="1" applyFill="1"/>
    <xf numFmtId="10" fontId="0" fillId="0" borderId="0" xfId="1" applyNumberFormat="1" applyFont="1"/>
    <xf numFmtId="10" fontId="5" fillId="0" borderId="0" xfId="1" applyNumberFormat="1" applyFont="1"/>
    <xf numFmtId="10" fontId="4" fillId="0" borderId="0" xfId="1" applyNumberFormat="1" applyFont="1"/>
    <xf numFmtId="10" fontId="0" fillId="4" borderId="0" xfId="1" applyNumberFormat="1" applyFont="1" applyFill="1"/>
    <xf numFmtId="10" fontId="4" fillId="4" borderId="0" xfId="1" applyNumberFormat="1" applyFont="1" applyFill="1"/>
    <xf numFmtId="0" fontId="6" fillId="4" borderId="0" xfId="0" applyFont="1" applyFill="1"/>
    <xf numFmtId="0" fontId="10" fillId="0" borderId="0" xfId="0" applyFont="1"/>
    <xf numFmtId="0" fontId="11" fillId="0" borderId="0" xfId="0" applyFont="1"/>
    <xf numFmtId="11" fontId="4" fillId="0" borderId="0" xfId="0" applyNumberFormat="1" applyFont="1"/>
    <xf numFmtId="0" fontId="5" fillId="4" borderId="0" xfId="0" applyFont="1" applyFill="1"/>
    <xf numFmtId="0" fontId="5" fillId="6" borderId="0" xfId="0" applyFont="1" applyFill="1"/>
    <xf numFmtId="0" fontId="4" fillId="6" borderId="0" xfId="0" applyFont="1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algo  performance on instances</a:t>
            </a:r>
            <a:r>
              <a:rPr lang="en-US" baseline="0"/>
              <a:t> #50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final!$M$389:$N$389</c:f>
              <c:strCache>
                <c:ptCount val="2"/>
                <c:pt idx="0">
                  <c:v>CPELX</c:v>
                </c:pt>
                <c:pt idx="1">
                  <c:v>BAP</c:v>
                </c:pt>
              </c:strCache>
            </c:strRef>
          </c:cat>
          <c:val>
            <c:numRef>
              <c:f>final!$M$390:$N$390</c:f>
              <c:numCache>
                <c:formatCode>General</c:formatCode>
                <c:ptCount val="2"/>
                <c:pt idx="0">
                  <c:v>32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B-6D40-B5C1-33CD715F65C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final!$M$389:$N$389</c:f>
              <c:strCache>
                <c:ptCount val="2"/>
                <c:pt idx="0">
                  <c:v>CPELX</c:v>
                </c:pt>
                <c:pt idx="1">
                  <c:v>BAP</c:v>
                </c:pt>
              </c:strCache>
            </c:strRef>
          </c:cat>
          <c:val>
            <c:numRef>
              <c:f>final!$M$391:$N$391</c:f>
              <c:numCache>
                <c:formatCode>General</c:formatCode>
                <c:ptCount val="2"/>
                <c:pt idx="0">
                  <c:v>28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B-6D40-B5C1-33CD715F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8352896"/>
        <c:axId val="868354688"/>
      </c:barChart>
      <c:catAx>
        <c:axId val="8683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4688"/>
        <c:crosses val="autoZero"/>
        <c:auto val="1"/>
        <c:lblAlgn val="ctr"/>
        <c:lblOffset val="100"/>
        <c:noMultiLvlLbl val="0"/>
      </c:catAx>
      <c:valAx>
        <c:axId val="86835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algo  performance on instances</a:t>
            </a:r>
            <a:r>
              <a:rPr lang="en-US" baseline="0"/>
              <a:t> #75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final!$M$393:$N$393</c:f>
              <c:strCache>
                <c:ptCount val="2"/>
                <c:pt idx="0">
                  <c:v>CPLEX</c:v>
                </c:pt>
                <c:pt idx="1">
                  <c:v>BAP</c:v>
                </c:pt>
              </c:strCache>
            </c:strRef>
          </c:cat>
          <c:val>
            <c:numRef>
              <c:f>final!$M$394:$N$394</c:f>
              <c:numCache>
                <c:formatCode>General</c:formatCode>
                <c:ptCount val="2"/>
                <c:pt idx="0">
                  <c:v>7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9-2C4E-A193-59D75B19BA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final!$M$393:$N$393</c:f>
              <c:strCache>
                <c:ptCount val="2"/>
                <c:pt idx="0">
                  <c:v>CPLEX</c:v>
                </c:pt>
                <c:pt idx="1">
                  <c:v>BAP</c:v>
                </c:pt>
              </c:strCache>
            </c:strRef>
          </c:cat>
          <c:val>
            <c:numRef>
              <c:f>final!$M$395:$N$395</c:f>
              <c:numCache>
                <c:formatCode>General</c:formatCode>
                <c:ptCount val="2"/>
                <c:pt idx="0">
                  <c:v>53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9-2C4E-A193-59D75B19BA5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final!$M$393:$N$393</c:f>
              <c:strCache>
                <c:ptCount val="2"/>
                <c:pt idx="0">
                  <c:v>CPLEX</c:v>
                </c:pt>
                <c:pt idx="1">
                  <c:v>BAP</c:v>
                </c:pt>
              </c:strCache>
            </c:strRef>
          </c:cat>
          <c:val>
            <c:numRef>
              <c:f>final!$M$396:$N$396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9-2C4E-A193-59D75B19B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8352896"/>
        <c:axId val="868354688"/>
      </c:barChart>
      <c:catAx>
        <c:axId val="8683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4688"/>
        <c:crosses val="autoZero"/>
        <c:auto val="1"/>
        <c:lblAlgn val="ctr"/>
        <c:lblOffset val="100"/>
        <c:noMultiLvlLbl val="0"/>
      </c:catAx>
      <c:valAx>
        <c:axId val="86835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algo  performance on instances</a:t>
            </a:r>
            <a:r>
              <a:rPr lang="en-US" baseline="0"/>
              <a:t> #100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final!$M$397:$N$397</c:f>
              <c:strCache>
                <c:ptCount val="2"/>
                <c:pt idx="0">
                  <c:v>CLEX</c:v>
                </c:pt>
                <c:pt idx="1">
                  <c:v>BAP</c:v>
                </c:pt>
              </c:strCache>
            </c:strRef>
          </c:cat>
          <c:val>
            <c:numRef>
              <c:f>final!$M$398:$N$398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9-F34F-92B1-1EAACC08B30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final!$M$397:$N$397</c:f>
              <c:strCache>
                <c:ptCount val="2"/>
                <c:pt idx="0">
                  <c:v>CLEX</c:v>
                </c:pt>
                <c:pt idx="1">
                  <c:v>BAP</c:v>
                </c:pt>
              </c:strCache>
            </c:strRef>
          </c:cat>
          <c:val>
            <c:numRef>
              <c:f>final!$M$399:$N$399</c:f>
              <c:numCache>
                <c:formatCode>General</c:formatCode>
                <c:ptCount val="2"/>
                <c:pt idx="0">
                  <c:v>51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9-F34F-92B1-1EAACC08B30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final!$M$397:$N$397</c:f>
              <c:strCache>
                <c:ptCount val="2"/>
                <c:pt idx="0">
                  <c:v>CLEX</c:v>
                </c:pt>
                <c:pt idx="1">
                  <c:v>BAP</c:v>
                </c:pt>
              </c:strCache>
            </c:strRef>
          </c:cat>
          <c:val>
            <c:numRef>
              <c:f>final!$M$400:$N$400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9-F34F-92B1-1EAACC08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8352896"/>
        <c:axId val="868354688"/>
      </c:barChart>
      <c:catAx>
        <c:axId val="8683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4688"/>
        <c:crosses val="autoZero"/>
        <c:auto val="1"/>
        <c:lblAlgn val="ctr"/>
        <c:lblOffset val="100"/>
        <c:noMultiLvlLbl val="0"/>
      </c:catAx>
      <c:valAx>
        <c:axId val="86835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5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119000</xdr:colOff>
      <xdr:row>26</xdr:row>
      <xdr:rowOff>6071</xdr:rowOff>
    </xdr:from>
    <xdr:to>
      <xdr:col>32</xdr:col>
      <xdr:colOff>486800</xdr:colOff>
      <xdr:row>40</xdr:row>
      <xdr:rowOff>126340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B7EB1-F0C8-48EA-F314-7F8CF1477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742461</xdr:colOff>
      <xdr:row>38</xdr:row>
      <xdr:rowOff>0</xdr:rowOff>
    </xdr:from>
    <xdr:to>
      <xdr:col>32</xdr:col>
      <xdr:colOff>289647</xdr:colOff>
      <xdr:row>52</xdr:row>
      <xdr:rowOff>120269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A1F52-C840-D943-B634-406360831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488462</xdr:colOff>
      <xdr:row>38</xdr:row>
      <xdr:rowOff>19538</xdr:rowOff>
    </xdr:from>
    <xdr:to>
      <xdr:col>39</xdr:col>
      <xdr:colOff>35647</xdr:colOff>
      <xdr:row>52</xdr:row>
      <xdr:rowOff>139807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054087-6CB5-CD40-8A69-EC8E45831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E5B4-7BC2-934A-B90D-B7DCB652FD18}">
  <dimension ref="A1:W103"/>
  <sheetViews>
    <sheetView topLeftCell="A23" zoomScale="125" workbookViewId="0">
      <selection activeCell="L24" sqref="L24"/>
    </sheetView>
  </sheetViews>
  <sheetFormatPr baseColWidth="10" defaultRowHeight="16" x14ac:dyDescent="0.2"/>
  <cols>
    <col min="2" max="3" width="0" hidden="1" customWidth="1"/>
    <col min="5" max="5" width="11.5" bestFit="1" customWidth="1"/>
    <col min="6" max="7" width="0" hidden="1" customWidth="1"/>
    <col min="9" max="9" width="14.83203125" hidden="1" customWidth="1"/>
    <col min="10" max="10" width="11.1640625" bestFit="1" customWidth="1"/>
    <col min="11" max="11" width="11.1640625" customWidth="1"/>
  </cols>
  <sheetData>
    <row r="1" spans="1:15" x14ac:dyDescent="0.2">
      <c r="A1" t="s">
        <v>0</v>
      </c>
      <c r="B1" t="s">
        <v>2</v>
      </c>
      <c r="C1" t="s">
        <v>3</v>
      </c>
      <c r="D1" t="s">
        <v>23</v>
      </c>
      <c r="E1" t="s">
        <v>25</v>
      </c>
      <c r="F1" t="s">
        <v>24</v>
      </c>
      <c r="G1" t="s">
        <v>26</v>
      </c>
      <c r="H1" t="s">
        <v>27</v>
      </c>
    </row>
    <row r="2" spans="1:15" hidden="1" x14ac:dyDescent="0.2">
      <c r="A2">
        <v>10</v>
      </c>
      <c r="B2">
        <v>4</v>
      </c>
      <c r="C2">
        <v>2</v>
      </c>
      <c r="D2">
        <v>42</v>
      </c>
    </row>
    <row r="3" spans="1:15" hidden="1" x14ac:dyDescent="0.2">
      <c r="A3">
        <v>10</v>
      </c>
      <c r="B3">
        <v>4</v>
      </c>
      <c r="C3">
        <v>2</v>
      </c>
      <c r="D3">
        <v>52</v>
      </c>
    </row>
    <row r="4" spans="1:15" hidden="1" x14ac:dyDescent="0.2">
      <c r="A4">
        <v>10</v>
      </c>
      <c r="B4">
        <v>4</v>
      </c>
      <c r="C4">
        <v>2</v>
      </c>
      <c r="D4">
        <v>62</v>
      </c>
    </row>
    <row r="5" spans="1:15" hidden="1" x14ac:dyDescent="0.2">
      <c r="A5">
        <v>10</v>
      </c>
      <c r="B5">
        <v>4</v>
      </c>
      <c r="C5">
        <v>2</v>
      </c>
      <c r="D5">
        <v>72</v>
      </c>
    </row>
    <row r="6" spans="1:15" hidden="1" x14ac:dyDescent="0.2">
      <c r="A6">
        <v>10</v>
      </c>
      <c r="B6">
        <v>4</v>
      </c>
      <c r="C6">
        <v>2</v>
      </c>
      <c r="D6">
        <v>82</v>
      </c>
    </row>
    <row r="7" spans="1:15" hidden="1" x14ac:dyDescent="0.2">
      <c r="A7" s="1" t="s">
        <v>10</v>
      </c>
      <c r="B7" s="1"/>
      <c r="C7" s="1"/>
      <c r="D7" s="1"/>
      <c r="E7" s="1"/>
      <c r="F7" s="1"/>
      <c r="G7" s="1"/>
      <c r="H7" s="1"/>
      <c r="I7" s="1"/>
      <c r="J7" s="2"/>
      <c r="K7" s="2"/>
      <c r="L7" s="1"/>
      <c r="M7" s="1"/>
      <c r="N7" s="1"/>
      <c r="O7" s="1"/>
    </row>
    <row r="8" spans="1:15" hidden="1" x14ac:dyDescent="0.2">
      <c r="A8">
        <v>15</v>
      </c>
      <c r="B8">
        <v>4</v>
      </c>
      <c r="C8">
        <v>2</v>
      </c>
      <c r="D8">
        <v>42</v>
      </c>
    </row>
    <row r="9" spans="1:15" hidden="1" x14ac:dyDescent="0.2">
      <c r="A9">
        <v>15</v>
      </c>
      <c r="B9">
        <v>4</v>
      </c>
      <c r="C9">
        <v>2</v>
      </c>
      <c r="D9">
        <v>52</v>
      </c>
    </row>
    <row r="10" spans="1:15" hidden="1" x14ac:dyDescent="0.2">
      <c r="A10">
        <v>15</v>
      </c>
      <c r="B10">
        <v>4</v>
      </c>
      <c r="C10">
        <v>2</v>
      </c>
      <c r="D10">
        <v>62</v>
      </c>
    </row>
    <row r="11" spans="1:15" hidden="1" x14ac:dyDescent="0.2">
      <c r="A11">
        <v>15</v>
      </c>
      <c r="B11">
        <v>4</v>
      </c>
      <c r="C11">
        <v>2</v>
      </c>
      <c r="D11">
        <v>72</v>
      </c>
    </row>
    <row r="12" spans="1:15" hidden="1" x14ac:dyDescent="0.2">
      <c r="A12">
        <v>15</v>
      </c>
      <c r="B12">
        <v>4</v>
      </c>
      <c r="C12">
        <v>2</v>
      </c>
      <c r="D12">
        <v>82</v>
      </c>
    </row>
    <row r="13" spans="1:15" hidden="1" x14ac:dyDescent="0.2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</row>
    <row r="14" spans="1:15" x14ac:dyDescent="0.2">
      <c r="A14">
        <v>20</v>
      </c>
      <c r="D14">
        <v>36</v>
      </c>
      <c r="E14" s="8">
        <v>178.23</v>
      </c>
      <c r="H14">
        <v>95.85</v>
      </c>
    </row>
    <row r="15" spans="1:15" x14ac:dyDescent="0.2">
      <c r="A15">
        <v>20</v>
      </c>
      <c r="D15">
        <v>42</v>
      </c>
      <c r="E15" s="8">
        <v>126.81</v>
      </c>
      <c r="H15">
        <v>95.24</v>
      </c>
    </row>
    <row r="16" spans="1:15" x14ac:dyDescent="0.2">
      <c r="A16">
        <v>20</v>
      </c>
      <c r="B16">
        <v>4</v>
      </c>
      <c r="C16">
        <v>2</v>
      </c>
      <c r="D16">
        <v>52</v>
      </c>
      <c r="E16" s="8">
        <v>267.02999999999997</v>
      </c>
      <c r="H16">
        <v>200.59</v>
      </c>
    </row>
    <row r="17" spans="1:23" x14ac:dyDescent="0.2">
      <c r="A17">
        <v>20</v>
      </c>
      <c r="B17">
        <v>4</v>
      </c>
      <c r="C17">
        <v>2</v>
      </c>
      <c r="D17">
        <v>62</v>
      </c>
      <c r="E17" s="8">
        <v>93.41</v>
      </c>
      <c r="H17">
        <v>34.89</v>
      </c>
    </row>
    <row r="18" spans="1:23" x14ac:dyDescent="0.2">
      <c r="A18">
        <v>20</v>
      </c>
      <c r="B18">
        <v>4</v>
      </c>
      <c r="C18">
        <v>2</v>
      </c>
      <c r="D18">
        <v>72</v>
      </c>
      <c r="E18" s="8">
        <v>187.68</v>
      </c>
      <c r="H18">
        <v>51.12</v>
      </c>
    </row>
    <row r="19" spans="1:23" x14ac:dyDescent="0.2">
      <c r="A19">
        <v>20</v>
      </c>
      <c r="B19">
        <v>4</v>
      </c>
      <c r="C19">
        <v>2</v>
      </c>
      <c r="D19">
        <v>83</v>
      </c>
      <c r="E19" s="8">
        <v>201.06</v>
      </c>
      <c r="H19">
        <v>59.12</v>
      </c>
    </row>
    <row r="20" spans="1:23" x14ac:dyDescent="0.2">
      <c r="A20">
        <v>20</v>
      </c>
      <c r="D20">
        <v>149</v>
      </c>
      <c r="E20" s="8">
        <v>124.78</v>
      </c>
      <c r="H20">
        <v>86.54</v>
      </c>
    </row>
    <row r="21" spans="1:23" x14ac:dyDescent="0.2">
      <c r="A21">
        <v>20</v>
      </c>
      <c r="B21">
        <v>4</v>
      </c>
      <c r="C21">
        <v>2</v>
      </c>
      <c r="D21">
        <v>510</v>
      </c>
      <c r="E21" s="8">
        <v>206.47</v>
      </c>
      <c r="H21">
        <v>42.27</v>
      </c>
    </row>
    <row r="22" spans="1:23" x14ac:dyDescent="0.2">
      <c r="A22" s="1" t="s">
        <v>10</v>
      </c>
      <c r="B22" s="1"/>
      <c r="C22" s="1"/>
      <c r="D22" s="1"/>
      <c r="E22" s="1">
        <f>AVERAGE(E16:E21)</f>
        <v>180.07166666666663</v>
      </c>
      <c r="F22" s="1"/>
      <c r="G22" s="1"/>
      <c r="H22" s="1">
        <f>AVERAGE(H16:H21)</f>
        <v>79.088333333333338</v>
      </c>
      <c r="I22" s="1"/>
      <c r="J22" s="2"/>
      <c r="K22" s="2"/>
      <c r="L22" s="1"/>
      <c r="M22" s="1"/>
      <c r="N22" s="1"/>
      <c r="O22" s="1"/>
    </row>
    <row r="23" spans="1:23" x14ac:dyDescent="0.2">
      <c r="A23">
        <v>25</v>
      </c>
      <c r="B23">
        <v>4</v>
      </c>
      <c r="C23">
        <v>2</v>
      </c>
      <c r="D23">
        <v>36</v>
      </c>
      <c r="E23" s="8">
        <v>293.22000000000003</v>
      </c>
      <c r="J23">
        <v>1630.27</v>
      </c>
      <c r="K23">
        <f>AVERAGE(L23:W23)</f>
        <v>558.36249999999995</v>
      </c>
      <c r="L23">
        <v>557.21</v>
      </c>
      <c r="M23">
        <v>591.04</v>
      </c>
      <c r="N23">
        <v>550.11</v>
      </c>
      <c r="O23">
        <v>538.91</v>
      </c>
      <c r="P23">
        <v>564.76</v>
      </c>
      <c r="Q23">
        <v>565.58000000000004</v>
      </c>
      <c r="R23">
        <v>540.30999999999995</v>
      </c>
      <c r="S23">
        <v>585.22</v>
      </c>
      <c r="T23">
        <v>540.67999999999995</v>
      </c>
      <c r="U23">
        <v>561.73</v>
      </c>
      <c r="V23">
        <v>554.94000000000005</v>
      </c>
      <c r="W23">
        <v>549.86</v>
      </c>
    </row>
    <row r="24" spans="1:23" x14ac:dyDescent="0.2">
      <c r="A24">
        <v>25</v>
      </c>
      <c r="D24">
        <v>42</v>
      </c>
      <c r="E24" s="8">
        <v>252.77</v>
      </c>
      <c r="H24">
        <v>128.69</v>
      </c>
      <c r="K24">
        <f t="shared" ref="K24:K30" si="0">AVERAGE(L24:W24)</f>
        <v>58.833636363636359</v>
      </c>
      <c r="L24">
        <v>59.8</v>
      </c>
      <c r="M24">
        <v>59.77</v>
      </c>
      <c r="N24">
        <v>59.99</v>
      </c>
      <c r="O24">
        <v>59.41</v>
      </c>
      <c r="P24">
        <v>59.08</v>
      </c>
      <c r="Q24">
        <v>58.81</v>
      </c>
      <c r="R24">
        <v>60.14</v>
      </c>
      <c r="S24">
        <v>59.33</v>
      </c>
      <c r="T24">
        <v>52.75</v>
      </c>
      <c r="U24">
        <v>59.59</v>
      </c>
      <c r="V24">
        <v>58.5</v>
      </c>
    </row>
    <row r="25" spans="1:23" x14ac:dyDescent="0.2">
      <c r="A25">
        <v>25</v>
      </c>
      <c r="D25">
        <v>52</v>
      </c>
      <c r="E25" s="8">
        <v>370.03</v>
      </c>
      <c r="H25">
        <v>151.88</v>
      </c>
      <c r="K25">
        <f t="shared" si="0"/>
        <v>142.56</v>
      </c>
      <c r="L25">
        <v>145.19999999999999</v>
      </c>
      <c r="M25">
        <v>147.61000000000001</v>
      </c>
      <c r="N25">
        <v>140.58000000000001</v>
      </c>
      <c r="O25">
        <v>139.27000000000001</v>
      </c>
      <c r="P25">
        <v>141.44</v>
      </c>
      <c r="Q25">
        <v>138.83000000000001</v>
      </c>
      <c r="R25">
        <v>145.56</v>
      </c>
      <c r="S25">
        <v>137.63</v>
      </c>
      <c r="T25">
        <v>146.91999999999999</v>
      </c>
    </row>
    <row r="26" spans="1:23" x14ac:dyDescent="0.2">
      <c r="A26">
        <v>25</v>
      </c>
      <c r="D26">
        <v>62</v>
      </c>
      <c r="E26" s="8">
        <v>212.01</v>
      </c>
      <c r="H26">
        <v>82.16</v>
      </c>
      <c r="K26">
        <f t="shared" si="0"/>
        <v>87.054444444444442</v>
      </c>
      <c r="L26">
        <v>85.27</v>
      </c>
      <c r="M26">
        <v>90.53</v>
      </c>
      <c r="N26">
        <v>87.18</v>
      </c>
      <c r="O26">
        <v>89.37</v>
      </c>
      <c r="P26">
        <v>86.91</v>
      </c>
      <c r="Q26">
        <v>85.3</v>
      </c>
      <c r="R26">
        <v>86.46</v>
      </c>
      <c r="S26">
        <v>85.22</v>
      </c>
      <c r="T26">
        <v>87.25</v>
      </c>
    </row>
    <row r="27" spans="1:23" x14ac:dyDescent="0.2">
      <c r="A27">
        <v>25</v>
      </c>
      <c r="B27">
        <v>4</v>
      </c>
      <c r="C27">
        <v>2</v>
      </c>
      <c r="D27">
        <v>72</v>
      </c>
      <c r="E27" s="8">
        <v>306.39999999999998</v>
      </c>
      <c r="H27">
        <v>151.88</v>
      </c>
      <c r="K27">
        <f t="shared" si="0"/>
        <v>143.52111111111111</v>
      </c>
      <c r="L27">
        <v>140.94999999999999</v>
      </c>
      <c r="M27">
        <v>146.27000000000001</v>
      </c>
      <c r="N27">
        <v>150.18</v>
      </c>
      <c r="O27">
        <v>143.27000000000001</v>
      </c>
      <c r="P27">
        <v>141.30000000000001</v>
      </c>
      <c r="Q27">
        <v>141.19999999999999</v>
      </c>
      <c r="R27">
        <v>149.04</v>
      </c>
      <c r="S27">
        <v>138.56</v>
      </c>
      <c r="T27">
        <v>140.91999999999999</v>
      </c>
    </row>
    <row r="28" spans="1:23" x14ac:dyDescent="0.2">
      <c r="A28">
        <v>25</v>
      </c>
      <c r="B28">
        <v>4</v>
      </c>
      <c r="C28">
        <v>2</v>
      </c>
      <c r="D28">
        <v>83</v>
      </c>
      <c r="E28" s="8">
        <v>300.04000000000002</v>
      </c>
      <c r="H28">
        <v>127.62</v>
      </c>
      <c r="K28">
        <f t="shared" si="0"/>
        <v>232.08800000000005</v>
      </c>
      <c r="L28">
        <v>232.57</v>
      </c>
      <c r="M28">
        <v>245.25</v>
      </c>
      <c r="N28">
        <v>231.99</v>
      </c>
      <c r="O28">
        <v>237.97</v>
      </c>
      <c r="P28">
        <v>222.89</v>
      </c>
      <c r="Q28">
        <v>225.36</v>
      </c>
      <c r="R28">
        <v>231.53</v>
      </c>
      <c r="S28">
        <v>226.47</v>
      </c>
      <c r="T28">
        <v>229.53</v>
      </c>
      <c r="U28">
        <v>237.32</v>
      </c>
    </row>
    <row r="29" spans="1:23" x14ac:dyDescent="0.2">
      <c r="A29">
        <v>25</v>
      </c>
      <c r="B29">
        <v>4</v>
      </c>
      <c r="C29">
        <v>2</v>
      </c>
      <c r="D29">
        <v>149</v>
      </c>
      <c r="E29" s="8">
        <v>386.03</v>
      </c>
      <c r="H29">
        <v>706.08</v>
      </c>
      <c r="K29">
        <f t="shared" si="0"/>
        <v>77.313999999999993</v>
      </c>
      <c r="L29">
        <v>77.53</v>
      </c>
      <c r="M29">
        <v>77.27</v>
      </c>
      <c r="N29">
        <v>77.84</v>
      </c>
      <c r="O29">
        <v>77.67</v>
      </c>
      <c r="P29">
        <v>76.89</v>
      </c>
      <c r="Q29">
        <v>76.73</v>
      </c>
      <c r="R29">
        <v>76.41</v>
      </c>
      <c r="S29">
        <v>76.3</v>
      </c>
      <c r="T29">
        <v>78.45</v>
      </c>
      <c r="U29">
        <v>78.05</v>
      </c>
    </row>
    <row r="30" spans="1:23" x14ac:dyDescent="0.2">
      <c r="A30">
        <v>25</v>
      </c>
      <c r="B30">
        <v>4</v>
      </c>
      <c r="C30">
        <v>2</v>
      </c>
      <c r="D30">
        <v>510</v>
      </c>
      <c r="E30" s="8">
        <v>1777.48</v>
      </c>
      <c r="H30">
        <v>196.33</v>
      </c>
      <c r="K30">
        <f t="shared" si="0"/>
        <v>69.547777777777782</v>
      </c>
      <c r="L30">
        <v>68.39</v>
      </c>
      <c r="M30">
        <v>70.239999999999995</v>
      </c>
      <c r="N30">
        <v>69.42</v>
      </c>
      <c r="O30">
        <v>70.319999999999993</v>
      </c>
      <c r="P30">
        <v>68.989999999999995</v>
      </c>
      <c r="Q30">
        <v>69.06</v>
      </c>
      <c r="R30">
        <v>70.41</v>
      </c>
      <c r="S30">
        <v>69.569999999999993</v>
      </c>
      <c r="T30">
        <v>69.53</v>
      </c>
    </row>
    <row r="31" spans="1:23" x14ac:dyDescent="0.2">
      <c r="A31" s="1" t="s">
        <v>10</v>
      </c>
      <c r="B31" s="1"/>
      <c r="C31" s="1"/>
      <c r="D31" s="1"/>
      <c r="E31" s="1">
        <f>AVERAGE(E23:E30)</f>
        <v>487.2475</v>
      </c>
      <c r="F31" s="1"/>
      <c r="G31" s="1"/>
      <c r="H31" s="1">
        <f>AVERAGE(H23:H30)</f>
        <v>220.66285714285712</v>
      </c>
      <c r="I31" s="1"/>
      <c r="J31" s="2"/>
      <c r="K31" s="2"/>
      <c r="L31" s="1"/>
      <c r="M31" s="1"/>
      <c r="N31" s="1"/>
      <c r="O31" s="1"/>
    </row>
    <row r="32" spans="1:23" x14ac:dyDescent="0.2">
      <c r="A32">
        <v>30</v>
      </c>
      <c r="B32">
        <v>4</v>
      </c>
      <c r="C32">
        <v>2</v>
      </c>
      <c r="D32">
        <v>36</v>
      </c>
      <c r="E32" s="8">
        <v>917.87</v>
      </c>
      <c r="J32">
        <v>2354.4499999999998</v>
      </c>
    </row>
    <row r="33" spans="1:15" x14ac:dyDescent="0.2">
      <c r="A33">
        <v>30</v>
      </c>
      <c r="D33">
        <v>42</v>
      </c>
      <c r="E33" s="8">
        <v>831.02</v>
      </c>
      <c r="H33">
        <v>461.6</v>
      </c>
    </row>
    <row r="34" spans="1:15" x14ac:dyDescent="0.2">
      <c r="A34">
        <v>30</v>
      </c>
      <c r="D34">
        <v>52</v>
      </c>
      <c r="E34" s="8">
        <v>1022.88</v>
      </c>
      <c r="J34">
        <v>1544.56</v>
      </c>
    </row>
    <row r="35" spans="1:15" x14ac:dyDescent="0.2">
      <c r="A35">
        <v>30</v>
      </c>
      <c r="D35">
        <v>62</v>
      </c>
      <c r="E35" s="8">
        <v>621.46</v>
      </c>
      <c r="H35">
        <v>844.37</v>
      </c>
    </row>
    <row r="36" spans="1:15" x14ac:dyDescent="0.2">
      <c r="A36">
        <v>30</v>
      </c>
      <c r="B36">
        <v>4</v>
      </c>
      <c r="C36">
        <v>2</v>
      </c>
      <c r="D36">
        <v>72</v>
      </c>
      <c r="E36" s="8">
        <v>294.10000000000002</v>
      </c>
      <c r="H36">
        <v>659.6</v>
      </c>
    </row>
    <row r="37" spans="1:15" x14ac:dyDescent="0.2">
      <c r="A37">
        <v>30</v>
      </c>
      <c r="B37">
        <v>4</v>
      </c>
      <c r="C37">
        <v>2</v>
      </c>
      <c r="D37">
        <v>83</v>
      </c>
      <c r="E37" s="8">
        <v>634.92999999999995</v>
      </c>
      <c r="J37">
        <v>2317.88</v>
      </c>
    </row>
    <row r="38" spans="1:15" x14ac:dyDescent="0.2">
      <c r="A38">
        <v>30</v>
      </c>
      <c r="B38">
        <v>4</v>
      </c>
      <c r="C38">
        <v>2</v>
      </c>
      <c r="D38">
        <v>149</v>
      </c>
      <c r="E38" s="8">
        <v>313.07</v>
      </c>
      <c r="H38">
        <v>844.6</v>
      </c>
    </row>
    <row r="39" spans="1:15" x14ac:dyDescent="0.2">
      <c r="A39">
        <v>30</v>
      </c>
      <c r="B39">
        <v>4</v>
      </c>
      <c r="C39">
        <v>2</v>
      </c>
      <c r="D39">
        <v>510</v>
      </c>
      <c r="E39" s="8">
        <v>1302.74</v>
      </c>
      <c r="H39">
        <v>597.26</v>
      </c>
    </row>
    <row r="40" spans="1:15" x14ac:dyDescent="0.2">
      <c r="A40" s="1" t="s">
        <v>10</v>
      </c>
      <c r="B40" s="1"/>
      <c r="C40" s="1"/>
      <c r="D40" s="1"/>
      <c r="E40" s="1">
        <f>AVERAGE(E32:E39)</f>
        <v>742.25874999999996</v>
      </c>
      <c r="F40" s="1"/>
      <c r="G40" s="1"/>
      <c r="H40" s="1">
        <f>AVERAGE(H32:H39)</f>
        <v>681.4860000000001</v>
      </c>
      <c r="I40" s="1"/>
      <c r="J40" s="2"/>
      <c r="K40" s="2"/>
      <c r="L40" s="1"/>
      <c r="M40" s="1"/>
      <c r="N40" s="1"/>
      <c r="O40" s="2"/>
    </row>
    <row r="41" spans="1:15" x14ac:dyDescent="0.2">
      <c r="A41">
        <v>35</v>
      </c>
      <c r="B41">
        <v>4</v>
      </c>
      <c r="C41">
        <v>2</v>
      </c>
      <c r="D41">
        <v>36</v>
      </c>
      <c r="E41" s="8">
        <v>3603.52</v>
      </c>
    </row>
    <row r="42" spans="1:15" x14ac:dyDescent="0.2">
      <c r="A42">
        <v>35</v>
      </c>
      <c r="D42">
        <v>42</v>
      </c>
      <c r="E42" s="8">
        <v>1897.36</v>
      </c>
      <c r="J42">
        <v>1598.07</v>
      </c>
    </row>
    <row r="43" spans="1:15" x14ac:dyDescent="0.2">
      <c r="A43">
        <v>35</v>
      </c>
      <c r="D43">
        <v>52</v>
      </c>
      <c r="E43" s="8">
        <v>1243.17</v>
      </c>
      <c r="H43">
        <v>1130.96</v>
      </c>
    </row>
    <row r="44" spans="1:15" x14ac:dyDescent="0.2">
      <c r="A44">
        <v>35</v>
      </c>
      <c r="D44">
        <v>62</v>
      </c>
      <c r="E44" s="8">
        <v>2579.7199999999998</v>
      </c>
      <c r="J44">
        <v>2015.96</v>
      </c>
    </row>
    <row r="45" spans="1:15" x14ac:dyDescent="0.2">
      <c r="A45">
        <v>35</v>
      </c>
      <c r="B45">
        <v>4</v>
      </c>
      <c r="C45">
        <v>2</v>
      </c>
      <c r="D45">
        <v>72</v>
      </c>
      <c r="E45" s="8">
        <v>770.7</v>
      </c>
    </row>
    <row r="46" spans="1:15" x14ac:dyDescent="0.2">
      <c r="A46">
        <v>35</v>
      </c>
      <c r="B46">
        <v>4</v>
      </c>
      <c r="C46">
        <v>2</v>
      </c>
      <c r="D46">
        <v>83</v>
      </c>
      <c r="E46" s="8">
        <v>1067.8599999999999</v>
      </c>
      <c r="H46">
        <v>1210.3900000000001</v>
      </c>
    </row>
    <row r="47" spans="1:15" x14ac:dyDescent="0.2">
      <c r="A47">
        <v>35</v>
      </c>
      <c r="B47">
        <v>4</v>
      </c>
      <c r="C47">
        <v>2</v>
      </c>
      <c r="D47">
        <v>149</v>
      </c>
      <c r="E47" s="8">
        <v>751.17</v>
      </c>
      <c r="J47">
        <v>2042.43</v>
      </c>
    </row>
    <row r="48" spans="1:15" x14ac:dyDescent="0.2">
      <c r="A48">
        <v>35</v>
      </c>
      <c r="B48">
        <v>4</v>
      </c>
      <c r="C48">
        <v>2</v>
      </c>
      <c r="D48">
        <v>510</v>
      </c>
      <c r="E48" s="8">
        <v>2571.58</v>
      </c>
      <c r="H48">
        <v>1052.2</v>
      </c>
    </row>
    <row r="49" spans="1:15" x14ac:dyDescent="0.2">
      <c r="A49" s="1" t="s">
        <v>10</v>
      </c>
      <c r="B49" s="1"/>
      <c r="C49" s="1"/>
      <c r="D49" s="1"/>
      <c r="E49" s="1">
        <f>AVERAGE(E41:E48)</f>
        <v>1810.6350000000002</v>
      </c>
      <c r="F49" s="1"/>
      <c r="G49" s="1"/>
      <c r="H49" s="1">
        <f>AVERAGE(H41:H48)</f>
        <v>1131.1833333333334</v>
      </c>
      <c r="I49" s="1"/>
      <c r="J49" s="2"/>
      <c r="K49" s="2"/>
      <c r="L49" s="1"/>
      <c r="M49" s="1"/>
      <c r="N49" s="1"/>
      <c r="O49" s="1"/>
    </row>
    <row r="50" spans="1:15" x14ac:dyDescent="0.2">
      <c r="A50">
        <v>40</v>
      </c>
      <c r="B50">
        <v>4</v>
      </c>
      <c r="C50">
        <v>2</v>
      </c>
      <c r="D50">
        <v>36</v>
      </c>
      <c r="E50" s="10">
        <v>4.87E-2</v>
      </c>
      <c r="F50" s="3"/>
      <c r="G50" s="3"/>
      <c r="H50" s="3"/>
    </row>
    <row r="51" spans="1:15" x14ac:dyDescent="0.2">
      <c r="A51">
        <v>40</v>
      </c>
      <c r="D51">
        <v>42</v>
      </c>
      <c r="E51" s="9">
        <v>20766.91</v>
      </c>
      <c r="F51" s="3"/>
      <c r="G51" s="3"/>
      <c r="H51" s="3">
        <v>832.19</v>
      </c>
    </row>
    <row r="52" spans="1:15" x14ac:dyDescent="0.2">
      <c r="A52">
        <v>40</v>
      </c>
      <c r="D52">
        <v>52</v>
      </c>
      <c r="E52" s="9">
        <v>4332.88</v>
      </c>
      <c r="F52" s="3"/>
      <c r="G52" s="3"/>
      <c r="H52" s="3"/>
    </row>
    <row r="53" spans="1:15" x14ac:dyDescent="0.2">
      <c r="A53">
        <v>40</v>
      </c>
      <c r="D53">
        <v>62</v>
      </c>
      <c r="E53" s="9">
        <v>18635.71</v>
      </c>
      <c r="F53" s="3"/>
      <c r="G53" s="3"/>
      <c r="H53" s="3"/>
    </row>
    <row r="54" spans="1:15" x14ac:dyDescent="0.2">
      <c r="A54">
        <v>40</v>
      </c>
      <c r="B54">
        <v>4</v>
      </c>
      <c r="C54">
        <v>2</v>
      </c>
      <c r="D54">
        <v>72</v>
      </c>
      <c r="E54" s="9">
        <v>4118.9399999999996</v>
      </c>
    </row>
    <row r="55" spans="1:15" x14ac:dyDescent="0.2">
      <c r="A55">
        <v>40</v>
      </c>
      <c r="B55">
        <v>4</v>
      </c>
      <c r="C55">
        <v>2</v>
      </c>
      <c r="D55">
        <v>83</v>
      </c>
      <c r="E55" s="9">
        <v>4342.67</v>
      </c>
      <c r="H55">
        <v>1375.76</v>
      </c>
      <c r="I55" s="3"/>
      <c r="N55" s="3"/>
    </row>
    <row r="56" spans="1:15" x14ac:dyDescent="0.2">
      <c r="A56">
        <v>40</v>
      </c>
      <c r="B56">
        <v>4</v>
      </c>
      <c r="C56">
        <v>2</v>
      </c>
      <c r="D56">
        <v>149</v>
      </c>
      <c r="E56" s="8">
        <v>9537.32</v>
      </c>
      <c r="H56">
        <v>1001.92</v>
      </c>
    </row>
    <row r="57" spans="1:15" x14ac:dyDescent="0.2">
      <c r="A57">
        <v>40</v>
      </c>
      <c r="B57">
        <v>4</v>
      </c>
      <c r="C57">
        <v>2</v>
      </c>
      <c r="D57">
        <v>510</v>
      </c>
      <c r="E57" s="6">
        <v>5.6000000000000001E-2</v>
      </c>
    </row>
    <row r="58" spans="1:15" x14ac:dyDescent="0.2">
      <c r="A58" s="1" t="s">
        <v>10</v>
      </c>
      <c r="B58" s="1"/>
      <c r="C58" s="1"/>
      <c r="D58" s="1"/>
      <c r="E58" s="1">
        <f>AVERAGE(E51:E56)</f>
        <v>10289.071666666667</v>
      </c>
      <c r="F58" s="1"/>
      <c r="G58" s="1"/>
      <c r="H58" s="1"/>
      <c r="I58" s="1"/>
      <c r="J58" s="2"/>
      <c r="K58" s="2"/>
      <c r="L58" s="1"/>
      <c r="M58" s="2"/>
      <c r="N58" s="1"/>
      <c r="O58" s="1"/>
    </row>
    <row r="59" spans="1:15" x14ac:dyDescent="0.2">
      <c r="A59">
        <v>45</v>
      </c>
      <c r="D59">
        <v>36</v>
      </c>
      <c r="E59" s="6">
        <v>3.4799999999999998E-2</v>
      </c>
    </row>
    <row r="60" spans="1:15" x14ac:dyDescent="0.2">
      <c r="A60">
        <v>45</v>
      </c>
      <c r="D60">
        <v>42</v>
      </c>
      <c r="E60" s="6">
        <v>3.5700000000000003E-2</v>
      </c>
    </row>
    <row r="61" spans="1:15" x14ac:dyDescent="0.2">
      <c r="A61">
        <v>45</v>
      </c>
      <c r="D61">
        <v>52</v>
      </c>
      <c r="E61" s="6">
        <v>2.4799999999999999E-2</v>
      </c>
    </row>
    <row r="62" spans="1:15" x14ac:dyDescent="0.2">
      <c r="A62">
        <v>45</v>
      </c>
      <c r="D62">
        <v>62</v>
      </c>
      <c r="E62" s="6">
        <v>2.06E-2</v>
      </c>
    </row>
    <row r="63" spans="1:15" x14ac:dyDescent="0.2">
      <c r="A63">
        <v>45</v>
      </c>
      <c r="D63">
        <v>72</v>
      </c>
      <c r="E63" s="8">
        <v>5879.03</v>
      </c>
    </row>
    <row r="64" spans="1:15" x14ac:dyDescent="0.2">
      <c r="A64">
        <v>45</v>
      </c>
      <c r="D64">
        <v>83</v>
      </c>
      <c r="E64" s="6">
        <v>2.9600000000000001E-2</v>
      </c>
    </row>
    <row r="65" spans="1:15" x14ac:dyDescent="0.2">
      <c r="A65">
        <v>45</v>
      </c>
      <c r="D65">
        <v>149</v>
      </c>
      <c r="E65" s="6">
        <v>1.67E-2</v>
      </c>
    </row>
    <row r="66" spans="1:15" x14ac:dyDescent="0.2">
      <c r="A66">
        <v>45</v>
      </c>
      <c r="D66">
        <v>510</v>
      </c>
      <c r="E66" s="6">
        <v>6.8900000000000003E-2</v>
      </c>
      <c r="H66">
        <v>1044.3699999999999</v>
      </c>
    </row>
    <row r="67" spans="1:15" x14ac:dyDescent="0.2">
      <c r="A67" s="1" t="s">
        <v>10</v>
      </c>
      <c r="B67" s="1"/>
      <c r="C67" s="1"/>
      <c r="D67" s="1"/>
      <c r="E67" s="2">
        <f>AVERAGE(E59:E62,E64:E66)</f>
        <v>3.3014285714285718E-2</v>
      </c>
      <c r="F67" s="1"/>
      <c r="G67" s="1"/>
      <c r="H67" s="1"/>
      <c r="I67" s="1"/>
      <c r="J67" s="2"/>
      <c r="K67" s="2"/>
      <c r="L67" s="1"/>
      <c r="M67" s="2"/>
      <c r="N67" s="1"/>
      <c r="O67" s="1"/>
    </row>
    <row r="68" spans="1:15" x14ac:dyDescent="0.2">
      <c r="A68">
        <v>50</v>
      </c>
      <c r="D68">
        <v>36</v>
      </c>
      <c r="E68" s="6">
        <v>6.5299999999999997E-2</v>
      </c>
    </row>
    <row r="69" spans="1:15" x14ac:dyDescent="0.2">
      <c r="A69">
        <v>50</v>
      </c>
      <c r="D69">
        <v>42</v>
      </c>
      <c r="E69" s="6">
        <v>6.6799999999999998E-2</v>
      </c>
    </row>
    <row r="70" spans="1:15" x14ac:dyDescent="0.2">
      <c r="A70">
        <v>50</v>
      </c>
      <c r="D70">
        <v>52</v>
      </c>
      <c r="E70" s="6">
        <v>3.8E-3</v>
      </c>
    </row>
    <row r="71" spans="1:15" x14ac:dyDescent="0.2">
      <c r="A71">
        <v>50</v>
      </c>
      <c r="D71">
        <v>62</v>
      </c>
      <c r="E71" s="6">
        <v>3.4099999999999998E-2</v>
      </c>
    </row>
    <row r="72" spans="1:15" x14ac:dyDescent="0.2">
      <c r="A72">
        <v>50</v>
      </c>
      <c r="D72">
        <v>72</v>
      </c>
      <c r="E72" s="7">
        <v>8553.4599999999991</v>
      </c>
    </row>
    <row r="73" spans="1:15" x14ac:dyDescent="0.2">
      <c r="A73">
        <v>50</v>
      </c>
      <c r="D73">
        <v>83</v>
      </c>
      <c r="E73" s="6">
        <v>2.53E-2</v>
      </c>
    </row>
    <row r="74" spans="1:15" x14ac:dyDescent="0.2">
      <c r="A74">
        <v>50</v>
      </c>
      <c r="D74">
        <v>149</v>
      </c>
      <c r="E74" s="6">
        <v>1.5299999999999999E-2</v>
      </c>
    </row>
    <row r="75" spans="1:15" x14ac:dyDescent="0.2">
      <c r="A75">
        <v>50</v>
      </c>
      <c r="D75">
        <v>510</v>
      </c>
      <c r="E75" s="6">
        <v>7.8200000000000006E-2</v>
      </c>
    </row>
    <row r="76" spans="1:15" x14ac:dyDescent="0.2">
      <c r="A76" s="4" t="s">
        <v>10</v>
      </c>
      <c r="B76" s="4"/>
      <c r="C76" s="4"/>
      <c r="D76" s="4"/>
      <c r="E76" s="5">
        <f>AVERAGE(E73:E75,E68:E71)</f>
        <v>4.1257142857142867E-2</v>
      </c>
      <c r="F76" s="5"/>
      <c r="G76" s="4"/>
      <c r="H76" s="5"/>
      <c r="I76" s="4"/>
      <c r="J76" s="4"/>
      <c r="K76" s="4"/>
      <c r="L76" s="1"/>
      <c r="M76" s="2"/>
      <c r="N76" s="1"/>
      <c r="O76" s="1"/>
    </row>
    <row r="77" spans="1:15" x14ac:dyDescent="0.2">
      <c r="A77">
        <v>55</v>
      </c>
      <c r="D77">
        <v>36</v>
      </c>
      <c r="E77" s="6">
        <v>5.9700000000000003E-2</v>
      </c>
    </row>
    <row r="78" spans="1:15" x14ac:dyDescent="0.2">
      <c r="A78">
        <v>55</v>
      </c>
      <c r="D78">
        <v>42</v>
      </c>
      <c r="E78" s="6">
        <v>6.0400000000000002E-2</v>
      </c>
    </row>
    <row r="79" spans="1:15" x14ac:dyDescent="0.2">
      <c r="A79">
        <v>55</v>
      </c>
      <c r="D79">
        <v>52</v>
      </c>
      <c r="E79" s="6">
        <v>2.7E-2</v>
      </c>
    </row>
    <row r="80" spans="1:15" x14ac:dyDescent="0.2">
      <c r="A80">
        <v>55</v>
      </c>
      <c r="D80">
        <v>62</v>
      </c>
      <c r="E80" s="6">
        <v>4.99E-2</v>
      </c>
    </row>
    <row r="81" spans="1:15" x14ac:dyDescent="0.2">
      <c r="A81">
        <v>55</v>
      </c>
      <c r="D81">
        <v>72</v>
      </c>
      <c r="E81" s="6">
        <v>3.27E-2</v>
      </c>
    </row>
    <row r="82" spans="1:15" x14ac:dyDescent="0.2">
      <c r="A82">
        <v>55</v>
      </c>
      <c r="D82">
        <v>83</v>
      </c>
      <c r="E82" s="6">
        <v>9.5699999999999993E-2</v>
      </c>
    </row>
    <row r="83" spans="1:15" x14ac:dyDescent="0.2">
      <c r="A83">
        <v>55</v>
      </c>
      <c r="D83">
        <v>149</v>
      </c>
      <c r="E83" s="6">
        <v>2.1600000000000001E-2</v>
      </c>
    </row>
    <row r="84" spans="1:15" x14ac:dyDescent="0.2">
      <c r="A84">
        <v>55</v>
      </c>
      <c r="D84">
        <v>510</v>
      </c>
      <c r="E84" s="6">
        <v>7.5200000000000003E-2</v>
      </c>
    </row>
    <row r="85" spans="1:15" x14ac:dyDescent="0.2">
      <c r="A85" s="4" t="s">
        <v>10</v>
      </c>
      <c r="B85" s="4"/>
      <c r="C85" s="4"/>
      <c r="D85" s="4"/>
      <c r="E85" s="5">
        <f>AVERAGE(E77:E84)</f>
        <v>5.2775000000000002E-2</v>
      </c>
      <c r="F85" s="5"/>
      <c r="G85" s="4"/>
      <c r="H85" s="5"/>
      <c r="I85" s="4"/>
      <c r="J85" s="4"/>
      <c r="K85" s="4"/>
      <c r="L85" s="1"/>
      <c r="M85" s="2"/>
      <c r="N85" s="1"/>
      <c r="O85" s="1"/>
    </row>
    <row r="86" spans="1:15" x14ac:dyDescent="0.2">
      <c r="A86">
        <v>60</v>
      </c>
      <c r="D86">
        <v>36</v>
      </c>
      <c r="E86" s="6">
        <v>6.4199999999999993E-2</v>
      </c>
    </row>
    <row r="87" spans="1:15" x14ac:dyDescent="0.2">
      <c r="A87">
        <v>60</v>
      </c>
      <c r="D87">
        <v>42</v>
      </c>
      <c r="E87" s="6">
        <v>5.7799999999999997E-2</v>
      </c>
    </row>
    <row r="88" spans="1:15" x14ac:dyDescent="0.2">
      <c r="A88">
        <v>60</v>
      </c>
      <c r="D88">
        <v>52</v>
      </c>
      <c r="E88" s="6">
        <v>8.7599999999999997E-2</v>
      </c>
    </row>
    <row r="89" spans="1:15" x14ac:dyDescent="0.2">
      <c r="A89">
        <v>60</v>
      </c>
      <c r="D89">
        <v>62</v>
      </c>
      <c r="E89" s="6">
        <v>0.1094</v>
      </c>
    </row>
    <row r="90" spans="1:15" x14ac:dyDescent="0.2">
      <c r="A90">
        <v>60</v>
      </c>
      <c r="D90">
        <v>72</v>
      </c>
      <c r="E90" s="6">
        <v>2.3800000000000002E-2</v>
      </c>
    </row>
    <row r="91" spans="1:15" x14ac:dyDescent="0.2">
      <c r="A91">
        <v>60</v>
      </c>
      <c r="D91">
        <v>83</v>
      </c>
      <c r="E91" s="6">
        <v>8.0199999999999994E-2</v>
      </c>
    </row>
    <row r="92" spans="1:15" x14ac:dyDescent="0.2">
      <c r="A92">
        <v>60</v>
      </c>
      <c r="D92">
        <v>149</v>
      </c>
      <c r="E92" s="6">
        <v>1.9699999999999999E-2</v>
      </c>
    </row>
    <row r="93" spans="1:15" x14ac:dyDescent="0.2">
      <c r="A93">
        <v>60</v>
      </c>
      <c r="D93">
        <v>510</v>
      </c>
      <c r="E93" s="6">
        <v>9.4899999999999998E-2</v>
      </c>
    </row>
    <row r="94" spans="1:15" x14ac:dyDescent="0.2">
      <c r="A94" s="4" t="s">
        <v>10</v>
      </c>
      <c r="B94" s="4"/>
      <c r="C94" s="4"/>
      <c r="D94" s="4"/>
      <c r="E94" s="5">
        <f>AVERAGE(E86:E93)</f>
        <v>6.7199999999999996E-2</v>
      </c>
      <c r="F94" s="5"/>
      <c r="G94" s="4"/>
      <c r="H94" s="5"/>
      <c r="I94" s="4"/>
      <c r="J94" s="4"/>
      <c r="K94" s="4"/>
      <c r="L94" s="1"/>
      <c r="M94" s="2"/>
      <c r="N94" s="1"/>
      <c r="O94" s="1"/>
    </row>
    <row r="95" spans="1:15" x14ac:dyDescent="0.2">
      <c r="A95">
        <v>70</v>
      </c>
      <c r="D95">
        <v>36</v>
      </c>
      <c r="E95" s="6">
        <v>4.9700000000000001E-2</v>
      </c>
    </row>
    <row r="96" spans="1:15" x14ac:dyDescent="0.2">
      <c r="A96">
        <v>70</v>
      </c>
      <c r="D96">
        <v>42</v>
      </c>
      <c r="E96" s="6">
        <v>6.88E-2</v>
      </c>
    </row>
    <row r="97" spans="1:15" x14ac:dyDescent="0.2">
      <c r="A97">
        <v>70</v>
      </c>
      <c r="D97">
        <v>52</v>
      </c>
      <c r="E97" s="6">
        <v>8.1900000000000001E-2</v>
      </c>
    </row>
    <row r="98" spans="1:15" x14ac:dyDescent="0.2">
      <c r="A98">
        <v>70</v>
      </c>
      <c r="D98">
        <v>62</v>
      </c>
      <c r="E98" s="6">
        <v>8.9300000000000004E-2</v>
      </c>
    </row>
    <row r="99" spans="1:15" x14ac:dyDescent="0.2">
      <c r="A99">
        <v>70</v>
      </c>
      <c r="D99">
        <v>72</v>
      </c>
      <c r="E99" s="6">
        <v>6.4199999999999993E-2</v>
      </c>
    </row>
    <row r="100" spans="1:15" x14ac:dyDescent="0.2">
      <c r="A100">
        <v>70</v>
      </c>
      <c r="D100">
        <v>83</v>
      </c>
      <c r="E100" s="6">
        <v>6.7500000000000004E-2</v>
      </c>
    </row>
    <row r="101" spans="1:15" x14ac:dyDescent="0.2">
      <c r="A101">
        <v>70</v>
      </c>
      <c r="D101">
        <v>149</v>
      </c>
      <c r="E101" s="6">
        <v>6.5199999999999994E-2</v>
      </c>
    </row>
    <row r="102" spans="1:15" x14ac:dyDescent="0.2">
      <c r="A102">
        <v>70</v>
      </c>
      <c r="D102">
        <v>510</v>
      </c>
      <c r="E102" s="6">
        <v>9.0999999999999998E-2</v>
      </c>
    </row>
    <row r="103" spans="1:15" x14ac:dyDescent="0.2">
      <c r="A103" s="4" t="s">
        <v>10</v>
      </c>
      <c r="B103" s="4"/>
      <c r="C103" s="4"/>
      <c r="D103" s="4"/>
      <c r="E103" s="5">
        <f>AVERAGE(E95:E102)</f>
        <v>7.22E-2</v>
      </c>
      <c r="F103" s="5"/>
      <c r="G103" s="4"/>
      <c r="H103" s="5"/>
      <c r="I103" s="4"/>
      <c r="J103" s="4"/>
      <c r="K103" s="4"/>
      <c r="L103" s="1"/>
      <c r="M103" s="2"/>
      <c r="N103" s="1"/>
      <c r="O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E86-7D78-F24A-9C36-69528C7B13D3}">
  <dimension ref="A1:H103"/>
  <sheetViews>
    <sheetView zoomScale="167" workbookViewId="0">
      <selection activeCell="D7" sqref="D7"/>
    </sheetView>
  </sheetViews>
  <sheetFormatPr baseColWidth="10" defaultRowHeight="16" x14ac:dyDescent="0.2"/>
  <cols>
    <col min="2" max="3" width="0" hidden="1" customWidth="1"/>
  </cols>
  <sheetData>
    <row r="1" spans="1:8" x14ac:dyDescent="0.2">
      <c r="A1" t="s">
        <v>0</v>
      </c>
      <c r="B1" t="s">
        <v>2</v>
      </c>
      <c r="C1" t="s">
        <v>3</v>
      </c>
      <c r="D1" t="s">
        <v>23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">
      <c r="A2">
        <v>10</v>
      </c>
      <c r="B2">
        <v>4</v>
      </c>
      <c r="C2">
        <v>2</v>
      </c>
      <c r="D2">
        <v>42</v>
      </c>
    </row>
    <row r="3" spans="1:8" x14ac:dyDescent="0.2">
      <c r="A3">
        <v>10</v>
      </c>
      <c r="B3">
        <v>4</v>
      </c>
      <c r="C3">
        <v>2</v>
      </c>
      <c r="D3">
        <v>52</v>
      </c>
    </row>
    <row r="4" spans="1:8" x14ac:dyDescent="0.2">
      <c r="A4">
        <v>10</v>
      </c>
      <c r="B4">
        <v>4</v>
      </c>
      <c r="C4">
        <v>2</v>
      </c>
      <c r="D4">
        <v>62</v>
      </c>
    </row>
    <row r="5" spans="1:8" x14ac:dyDescent="0.2">
      <c r="A5">
        <v>10</v>
      </c>
      <c r="B5">
        <v>4</v>
      </c>
      <c r="C5">
        <v>2</v>
      </c>
      <c r="D5">
        <v>72</v>
      </c>
    </row>
    <row r="6" spans="1:8" x14ac:dyDescent="0.2">
      <c r="A6">
        <v>10</v>
      </c>
      <c r="B6">
        <v>4</v>
      </c>
      <c r="C6">
        <v>2</v>
      </c>
      <c r="D6">
        <v>82</v>
      </c>
    </row>
    <row r="7" spans="1:8" x14ac:dyDescent="0.2">
      <c r="A7" s="1" t="s">
        <v>10</v>
      </c>
      <c r="B7" s="1"/>
      <c r="C7" s="1"/>
      <c r="D7" s="1"/>
    </row>
    <row r="8" spans="1:8" x14ac:dyDescent="0.2">
      <c r="A8">
        <v>15</v>
      </c>
      <c r="B8">
        <v>4</v>
      </c>
      <c r="C8">
        <v>2</v>
      </c>
      <c r="D8">
        <v>42</v>
      </c>
    </row>
    <row r="9" spans="1:8" x14ac:dyDescent="0.2">
      <c r="A9">
        <v>15</v>
      </c>
      <c r="B9">
        <v>4</v>
      </c>
      <c r="C9">
        <v>2</v>
      </c>
      <c r="D9">
        <v>52</v>
      </c>
    </row>
    <row r="10" spans="1:8" x14ac:dyDescent="0.2">
      <c r="A10">
        <v>15</v>
      </c>
      <c r="B10">
        <v>4</v>
      </c>
      <c r="C10">
        <v>2</v>
      </c>
      <c r="D10">
        <v>62</v>
      </c>
    </row>
    <row r="11" spans="1:8" x14ac:dyDescent="0.2">
      <c r="A11">
        <v>15</v>
      </c>
      <c r="B11">
        <v>4</v>
      </c>
      <c r="C11">
        <v>2</v>
      </c>
      <c r="D11">
        <v>72</v>
      </c>
    </row>
    <row r="12" spans="1:8" x14ac:dyDescent="0.2">
      <c r="A12">
        <v>15</v>
      </c>
      <c r="B12">
        <v>4</v>
      </c>
      <c r="C12">
        <v>2</v>
      </c>
      <c r="D12">
        <v>82</v>
      </c>
    </row>
    <row r="13" spans="1:8" x14ac:dyDescent="0.2">
      <c r="A13" s="1" t="s">
        <v>10</v>
      </c>
      <c r="B13" s="1"/>
      <c r="C13" s="1"/>
      <c r="D13" s="1"/>
    </row>
    <row r="14" spans="1:8" x14ac:dyDescent="0.2">
      <c r="A14">
        <v>20</v>
      </c>
      <c r="D14">
        <v>36</v>
      </c>
    </row>
    <row r="15" spans="1:8" x14ac:dyDescent="0.2">
      <c r="A15">
        <v>20</v>
      </c>
      <c r="D15">
        <v>42</v>
      </c>
    </row>
    <row r="16" spans="1:8" x14ac:dyDescent="0.2">
      <c r="A16">
        <v>20</v>
      </c>
      <c r="B16">
        <v>4</v>
      </c>
      <c r="C16">
        <v>2</v>
      </c>
      <c r="D16">
        <v>52</v>
      </c>
    </row>
    <row r="17" spans="1:4" x14ac:dyDescent="0.2">
      <c r="A17">
        <v>20</v>
      </c>
      <c r="B17">
        <v>4</v>
      </c>
      <c r="C17">
        <v>2</v>
      </c>
      <c r="D17">
        <v>62</v>
      </c>
    </row>
    <row r="18" spans="1:4" x14ac:dyDescent="0.2">
      <c r="A18">
        <v>20</v>
      </c>
      <c r="B18">
        <v>4</v>
      </c>
      <c r="C18">
        <v>2</v>
      </c>
      <c r="D18">
        <v>72</v>
      </c>
    </row>
    <row r="19" spans="1:4" x14ac:dyDescent="0.2">
      <c r="A19">
        <v>20</v>
      </c>
      <c r="B19">
        <v>4</v>
      </c>
      <c r="C19">
        <v>2</v>
      </c>
      <c r="D19">
        <v>83</v>
      </c>
    </row>
    <row r="20" spans="1:4" x14ac:dyDescent="0.2">
      <c r="A20">
        <v>20</v>
      </c>
      <c r="D20">
        <v>149</v>
      </c>
    </row>
    <row r="21" spans="1:4" x14ac:dyDescent="0.2">
      <c r="A21">
        <v>20</v>
      </c>
      <c r="B21">
        <v>4</v>
      </c>
      <c r="C21">
        <v>2</v>
      </c>
      <c r="D21">
        <v>510</v>
      </c>
    </row>
    <row r="22" spans="1:4" x14ac:dyDescent="0.2">
      <c r="A22" s="1" t="s">
        <v>10</v>
      </c>
      <c r="B22" s="1"/>
      <c r="C22" s="1"/>
      <c r="D22" s="1"/>
    </row>
    <row r="23" spans="1:4" x14ac:dyDescent="0.2">
      <c r="A23">
        <v>25</v>
      </c>
      <c r="B23">
        <v>4</v>
      </c>
      <c r="C23">
        <v>2</v>
      </c>
      <c r="D23">
        <v>36</v>
      </c>
    </row>
    <row r="24" spans="1:4" x14ac:dyDescent="0.2">
      <c r="A24">
        <v>25</v>
      </c>
      <c r="D24">
        <v>42</v>
      </c>
    </row>
    <row r="25" spans="1:4" x14ac:dyDescent="0.2">
      <c r="A25">
        <v>25</v>
      </c>
      <c r="D25">
        <v>52</v>
      </c>
    </row>
    <row r="26" spans="1:4" x14ac:dyDescent="0.2">
      <c r="A26">
        <v>25</v>
      </c>
      <c r="D26">
        <v>62</v>
      </c>
    </row>
    <row r="27" spans="1:4" x14ac:dyDescent="0.2">
      <c r="A27">
        <v>25</v>
      </c>
      <c r="B27">
        <v>4</v>
      </c>
      <c r="C27">
        <v>2</v>
      </c>
      <c r="D27">
        <v>72</v>
      </c>
    </row>
    <row r="28" spans="1:4" x14ac:dyDescent="0.2">
      <c r="A28">
        <v>25</v>
      </c>
      <c r="B28">
        <v>4</v>
      </c>
      <c r="C28">
        <v>2</v>
      </c>
      <c r="D28">
        <v>83</v>
      </c>
    </row>
    <row r="29" spans="1:4" x14ac:dyDescent="0.2">
      <c r="A29">
        <v>25</v>
      </c>
      <c r="B29">
        <v>4</v>
      </c>
      <c r="C29">
        <v>2</v>
      </c>
      <c r="D29">
        <v>149</v>
      </c>
    </row>
    <row r="30" spans="1:4" x14ac:dyDescent="0.2">
      <c r="A30">
        <v>25</v>
      </c>
      <c r="B30">
        <v>4</v>
      </c>
      <c r="C30">
        <v>2</v>
      </c>
      <c r="D30">
        <v>510</v>
      </c>
    </row>
    <row r="31" spans="1:4" x14ac:dyDescent="0.2">
      <c r="A31" s="1" t="s">
        <v>10</v>
      </c>
      <c r="B31" s="1"/>
      <c r="C31" s="1"/>
      <c r="D31" s="1"/>
    </row>
    <row r="32" spans="1:4" x14ac:dyDescent="0.2">
      <c r="A32">
        <v>30</v>
      </c>
      <c r="B32">
        <v>4</v>
      </c>
      <c r="C32">
        <v>2</v>
      </c>
      <c r="D32">
        <v>36</v>
      </c>
    </row>
    <row r="33" spans="1:4" x14ac:dyDescent="0.2">
      <c r="A33">
        <v>30</v>
      </c>
      <c r="D33">
        <v>42</v>
      </c>
    </row>
    <row r="34" spans="1:4" x14ac:dyDescent="0.2">
      <c r="A34">
        <v>30</v>
      </c>
      <c r="D34">
        <v>52</v>
      </c>
    </row>
    <row r="35" spans="1:4" x14ac:dyDescent="0.2">
      <c r="A35">
        <v>30</v>
      </c>
      <c r="D35">
        <v>62</v>
      </c>
    </row>
    <row r="36" spans="1:4" x14ac:dyDescent="0.2">
      <c r="A36">
        <v>30</v>
      </c>
      <c r="B36">
        <v>4</v>
      </c>
      <c r="C36">
        <v>2</v>
      </c>
      <c r="D36">
        <v>72</v>
      </c>
    </row>
    <row r="37" spans="1:4" x14ac:dyDescent="0.2">
      <c r="A37">
        <v>30</v>
      </c>
      <c r="B37">
        <v>4</v>
      </c>
      <c r="C37">
        <v>2</v>
      </c>
      <c r="D37">
        <v>83</v>
      </c>
    </row>
    <row r="38" spans="1:4" x14ac:dyDescent="0.2">
      <c r="A38">
        <v>30</v>
      </c>
      <c r="B38">
        <v>4</v>
      </c>
      <c r="C38">
        <v>2</v>
      </c>
      <c r="D38">
        <v>149</v>
      </c>
    </row>
    <row r="39" spans="1:4" x14ac:dyDescent="0.2">
      <c r="A39">
        <v>30</v>
      </c>
      <c r="B39">
        <v>4</v>
      </c>
      <c r="C39">
        <v>2</v>
      </c>
      <c r="D39">
        <v>510</v>
      </c>
    </row>
    <row r="40" spans="1:4" x14ac:dyDescent="0.2">
      <c r="A40" s="1" t="s">
        <v>10</v>
      </c>
      <c r="B40" s="1"/>
      <c r="C40" s="1"/>
      <c r="D40" s="1"/>
    </row>
    <row r="41" spans="1:4" x14ac:dyDescent="0.2">
      <c r="A41">
        <v>35</v>
      </c>
      <c r="B41">
        <v>4</v>
      </c>
      <c r="C41">
        <v>2</v>
      </c>
      <c r="D41">
        <v>36</v>
      </c>
    </row>
    <row r="42" spans="1:4" x14ac:dyDescent="0.2">
      <c r="A42">
        <v>35</v>
      </c>
      <c r="D42">
        <v>42</v>
      </c>
    </row>
    <row r="43" spans="1:4" x14ac:dyDescent="0.2">
      <c r="A43">
        <v>35</v>
      </c>
      <c r="D43">
        <v>52</v>
      </c>
    </row>
    <row r="44" spans="1:4" x14ac:dyDescent="0.2">
      <c r="A44">
        <v>35</v>
      </c>
      <c r="D44">
        <v>62</v>
      </c>
    </row>
    <row r="45" spans="1:4" x14ac:dyDescent="0.2">
      <c r="A45">
        <v>35</v>
      </c>
      <c r="B45">
        <v>4</v>
      </c>
      <c r="C45">
        <v>2</v>
      </c>
      <c r="D45">
        <v>72</v>
      </c>
    </row>
    <row r="46" spans="1:4" x14ac:dyDescent="0.2">
      <c r="A46">
        <v>35</v>
      </c>
      <c r="B46">
        <v>4</v>
      </c>
      <c r="C46">
        <v>2</v>
      </c>
      <c r="D46">
        <v>83</v>
      </c>
    </row>
    <row r="47" spans="1:4" x14ac:dyDescent="0.2">
      <c r="A47">
        <v>35</v>
      </c>
      <c r="B47">
        <v>4</v>
      </c>
      <c r="C47">
        <v>2</v>
      </c>
      <c r="D47">
        <v>149</v>
      </c>
    </row>
    <row r="48" spans="1:4" x14ac:dyDescent="0.2">
      <c r="A48">
        <v>35</v>
      </c>
      <c r="B48">
        <v>4</v>
      </c>
      <c r="C48">
        <v>2</v>
      </c>
      <c r="D48">
        <v>510</v>
      </c>
    </row>
    <row r="49" spans="1:4" x14ac:dyDescent="0.2">
      <c r="A49" s="1" t="s">
        <v>10</v>
      </c>
      <c r="B49" s="1"/>
      <c r="C49" s="1"/>
      <c r="D49" s="1"/>
    </row>
    <row r="50" spans="1:4" x14ac:dyDescent="0.2">
      <c r="A50">
        <v>40</v>
      </c>
      <c r="B50">
        <v>4</v>
      </c>
      <c r="C50">
        <v>2</v>
      </c>
      <c r="D50">
        <v>36</v>
      </c>
    </row>
    <row r="51" spans="1:4" x14ac:dyDescent="0.2">
      <c r="A51">
        <v>40</v>
      </c>
      <c r="D51">
        <v>42</v>
      </c>
    </row>
    <row r="52" spans="1:4" x14ac:dyDescent="0.2">
      <c r="A52">
        <v>40</v>
      </c>
      <c r="D52">
        <v>52</v>
      </c>
    </row>
    <row r="53" spans="1:4" x14ac:dyDescent="0.2">
      <c r="A53">
        <v>40</v>
      </c>
      <c r="D53">
        <v>62</v>
      </c>
    </row>
    <row r="54" spans="1:4" x14ac:dyDescent="0.2">
      <c r="A54">
        <v>40</v>
      </c>
      <c r="B54">
        <v>4</v>
      </c>
      <c r="C54">
        <v>2</v>
      </c>
      <c r="D54">
        <v>72</v>
      </c>
    </row>
    <row r="55" spans="1:4" x14ac:dyDescent="0.2">
      <c r="A55">
        <v>40</v>
      </c>
      <c r="B55">
        <v>4</v>
      </c>
      <c r="C55">
        <v>2</v>
      </c>
      <c r="D55">
        <v>83</v>
      </c>
    </row>
    <row r="56" spans="1:4" x14ac:dyDescent="0.2">
      <c r="A56">
        <v>40</v>
      </c>
      <c r="B56">
        <v>4</v>
      </c>
      <c r="C56">
        <v>2</v>
      </c>
      <c r="D56">
        <v>149</v>
      </c>
    </row>
    <row r="57" spans="1:4" x14ac:dyDescent="0.2">
      <c r="A57">
        <v>40</v>
      </c>
      <c r="B57">
        <v>4</v>
      </c>
      <c r="C57">
        <v>2</v>
      </c>
      <c r="D57">
        <v>510</v>
      </c>
    </row>
    <row r="58" spans="1:4" x14ac:dyDescent="0.2">
      <c r="A58" s="1" t="s">
        <v>10</v>
      </c>
      <c r="B58" s="1"/>
      <c r="C58" s="1"/>
      <c r="D58" s="1"/>
    </row>
    <row r="59" spans="1:4" x14ac:dyDescent="0.2">
      <c r="A59">
        <v>45</v>
      </c>
      <c r="D59">
        <v>36</v>
      </c>
    </row>
    <row r="60" spans="1:4" x14ac:dyDescent="0.2">
      <c r="A60">
        <v>45</v>
      </c>
      <c r="D60">
        <v>42</v>
      </c>
    </row>
    <row r="61" spans="1:4" x14ac:dyDescent="0.2">
      <c r="A61">
        <v>45</v>
      </c>
      <c r="D61">
        <v>52</v>
      </c>
    </row>
    <row r="62" spans="1:4" x14ac:dyDescent="0.2">
      <c r="A62">
        <v>45</v>
      </c>
      <c r="D62">
        <v>62</v>
      </c>
    </row>
    <row r="63" spans="1:4" x14ac:dyDescent="0.2">
      <c r="A63">
        <v>45</v>
      </c>
      <c r="D63">
        <v>72</v>
      </c>
    </row>
    <row r="64" spans="1:4" x14ac:dyDescent="0.2">
      <c r="A64">
        <v>45</v>
      </c>
      <c r="D64">
        <v>83</v>
      </c>
    </row>
    <row r="65" spans="1:4" x14ac:dyDescent="0.2">
      <c r="A65">
        <v>45</v>
      </c>
      <c r="D65">
        <v>149</v>
      </c>
    </row>
    <row r="66" spans="1:4" x14ac:dyDescent="0.2">
      <c r="A66">
        <v>45</v>
      </c>
      <c r="D66">
        <v>510</v>
      </c>
    </row>
    <row r="67" spans="1:4" x14ac:dyDescent="0.2">
      <c r="A67" s="1" t="s">
        <v>10</v>
      </c>
      <c r="B67" s="1"/>
      <c r="C67" s="1"/>
      <c r="D67" s="1"/>
    </row>
    <row r="68" spans="1:4" x14ac:dyDescent="0.2">
      <c r="A68">
        <v>50</v>
      </c>
      <c r="D68">
        <v>36</v>
      </c>
    </row>
    <row r="69" spans="1:4" x14ac:dyDescent="0.2">
      <c r="A69">
        <v>50</v>
      </c>
      <c r="D69">
        <v>42</v>
      </c>
    </row>
    <row r="70" spans="1:4" x14ac:dyDescent="0.2">
      <c r="A70">
        <v>50</v>
      </c>
      <c r="D70">
        <v>52</v>
      </c>
    </row>
    <row r="71" spans="1:4" x14ac:dyDescent="0.2">
      <c r="A71">
        <v>50</v>
      </c>
      <c r="D71">
        <v>62</v>
      </c>
    </row>
    <row r="72" spans="1:4" x14ac:dyDescent="0.2">
      <c r="A72">
        <v>50</v>
      </c>
      <c r="D72">
        <v>72</v>
      </c>
    </row>
    <row r="73" spans="1:4" x14ac:dyDescent="0.2">
      <c r="A73">
        <v>50</v>
      </c>
      <c r="D73">
        <v>83</v>
      </c>
    </row>
    <row r="74" spans="1:4" x14ac:dyDescent="0.2">
      <c r="A74">
        <v>50</v>
      </c>
      <c r="D74">
        <v>149</v>
      </c>
    </row>
    <row r="75" spans="1:4" x14ac:dyDescent="0.2">
      <c r="A75">
        <v>50</v>
      </c>
      <c r="D75">
        <v>510</v>
      </c>
    </row>
    <row r="76" spans="1:4" x14ac:dyDescent="0.2">
      <c r="A76" s="4" t="s">
        <v>10</v>
      </c>
      <c r="B76" s="4"/>
      <c r="C76" s="4"/>
      <c r="D76" s="4"/>
    </row>
    <row r="77" spans="1:4" x14ac:dyDescent="0.2">
      <c r="A77">
        <v>55</v>
      </c>
      <c r="D77">
        <v>36</v>
      </c>
    </row>
    <row r="78" spans="1:4" x14ac:dyDescent="0.2">
      <c r="A78">
        <v>55</v>
      </c>
      <c r="D78">
        <v>42</v>
      </c>
    </row>
    <row r="79" spans="1:4" x14ac:dyDescent="0.2">
      <c r="A79">
        <v>55</v>
      </c>
      <c r="D79">
        <v>52</v>
      </c>
    </row>
    <row r="80" spans="1:4" x14ac:dyDescent="0.2">
      <c r="A80">
        <v>55</v>
      </c>
      <c r="D80">
        <v>62</v>
      </c>
    </row>
    <row r="81" spans="1:4" x14ac:dyDescent="0.2">
      <c r="A81">
        <v>55</v>
      </c>
      <c r="D81">
        <v>72</v>
      </c>
    </row>
    <row r="82" spans="1:4" x14ac:dyDescent="0.2">
      <c r="A82">
        <v>55</v>
      </c>
      <c r="D82">
        <v>83</v>
      </c>
    </row>
    <row r="83" spans="1:4" x14ac:dyDescent="0.2">
      <c r="A83">
        <v>55</v>
      </c>
      <c r="D83">
        <v>149</v>
      </c>
    </row>
    <row r="84" spans="1:4" x14ac:dyDescent="0.2">
      <c r="A84">
        <v>55</v>
      </c>
      <c r="D84">
        <v>510</v>
      </c>
    </row>
    <row r="85" spans="1:4" x14ac:dyDescent="0.2">
      <c r="A85" s="4" t="s">
        <v>10</v>
      </c>
      <c r="B85" s="4"/>
      <c r="C85" s="4"/>
      <c r="D85" s="4"/>
    </row>
    <row r="86" spans="1:4" x14ac:dyDescent="0.2">
      <c r="A86">
        <v>60</v>
      </c>
      <c r="D86">
        <v>36</v>
      </c>
    </row>
    <row r="87" spans="1:4" x14ac:dyDescent="0.2">
      <c r="A87">
        <v>60</v>
      </c>
      <c r="D87">
        <v>42</v>
      </c>
    </row>
    <row r="88" spans="1:4" x14ac:dyDescent="0.2">
      <c r="A88">
        <v>60</v>
      </c>
      <c r="D88">
        <v>52</v>
      </c>
    </row>
    <row r="89" spans="1:4" x14ac:dyDescent="0.2">
      <c r="A89">
        <v>60</v>
      </c>
      <c r="D89">
        <v>62</v>
      </c>
    </row>
    <row r="90" spans="1:4" x14ac:dyDescent="0.2">
      <c r="A90">
        <v>60</v>
      </c>
      <c r="D90">
        <v>72</v>
      </c>
    </row>
    <row r="91" spans="1:4" x14ac:dyDescent="0.2">
      <c r="A91">
        <v>60</v>
      </c>
      <c r="D91">
        <v>83</v>
      </c>
    </row>
    <row r="92" spans="1:4" x14ac:dyDescent="0.2">
      <c r="A92">
        <v>60</v>
      </c>
      <c r="D92">
        <v>149</v>
      </c>
    </row>
    <row r="93" spans="1:4" x14ac:dyDescent="0.2">
      <c r="A93">
        <v>60</v>
      </c>
      <c r="D93">
        <v>510</v>
      </c>
    </row>
    <row r="94" spans="1:4" x14ac:dyDescent="0.2">
      <c r="A94" s="4" t="s">
        <v>10</v>
      </c>
      <c r="B94" s="4"/>
      <c r="C94" s="4"/>
      <c r="D94" s="4"/>
    </row>
    <row r="95" spans="1:4" x14ac:dyDescent="0.2">
      <c r="A95">
        <v>70</v>
      </c>
      <c r="D95">
        <v>36</v>
      </c>
    </row>
    <row r="96" spans="1:4" x14ac:dyDescent="0.2">
      <c r="A96">
        <v>70</v>
      </c>
      <c r="D96">
        <v>42</v>
      </c>
    </row>
    <row r="97" spans="1:4" x14ac:dyDescent="0.2">
      <c r="A97">
        <v>70</v>
      </c>
      <c r="D97">
        <v>52</v>
      </c>
    </row>
    <row r="98" spans="1:4" x14ac:dyDescent="0.2">
      <c r="A98">
        <v>70</v>
      </c>
      <c r="D98">
        <v>62</v>
      </c>
    </row>
    <row r="99" spans="1:4" x14ac:dyDescent="0.2">
      <c r="A99">
        <v>70</v>
      </c>
      <c r="D99">
        <v>72</v>
      </c>
    </row>
    <row r="100" spans="1:4" x14ac:dyDescent="0.2">
      <c r="A100">
        <v>70</v>
      </c>
      <c r="D100">
        <v>83</v>
      </c>
    </row>
    <row r="101" spans="1:4" x14ac:dyDescent="0.2">
      <c r="A101">
        <v>70</v>
      </c>
      <c r="D101">
        <v>149</v>
      </c>
    </row>
    <row r="102" spans="1:4" x14ac:dyDescent="0.2">
      <c r="A102">
        <v>70</v>
      </c>
      <c r="D102">
        <v>510</v>
      </c>
    </row>
    <row r="103" spans="1:4" x14ac:dyDescent="0.2">
      <c r="A103" s="4" t="s">
        <v>10</v>
      </c>
      <c r="B103" s="4"/>
      <c r="C103" s="4"/>
      <c r="D10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5C3F-B8BC-1F47-9418-F1745CDF9F2D}">
  <dimension ref="A1:U55"/>
  <sheetViews>
    <sheetView zoomScale="42" zoomScaleNormal="42" workbookViewId="0">
      <pane ySplit="1" topLeftCell="A2" activePane="bottomLeft" state="frozen"/>
      <selection pane="bottomLeft" activeCell="N44" sqref="A1:N44"/>
    </sheetView>
  </sheetViews>
  <sheetFormatPr baseColWidth="10" defaultRowHeight="16" x14ac:dyDescent="0.2"/>
  <cols>
    <col min="5" max="5" width="8.1640625" bestFit="1" customWidth="1"/>
    <col min="6" max="6" width="10" customWidth="1"/>
    <col min="7" max="7" width="12.33203125" customWidth="1"/>
    <col min="9" max="9" width="13.6640625" customWidth="1"/>
    <col min="11" max="11" width="13" customWidth="1"/>
  </cols>
  <sheetData>
    <row r="1" spans="1:13" x14ac:dyDescent="0.2">
      <c r="A1" t="s">
        <v>0</v>
      </c>
      <c r="B1" t="s">
        <v>2</v>
      </c>
      <c r="C1" t="s">
        <v>3</v>
      </c>
      <c r="E1" t="s">
        <v>1</v>
      </c>
      <c r="F1" t="s">
        <v>13</v>
      </c>
      <c r="G1" t="s">
        <v>14</v>
      </c>
      <c r="H1" t="s">
        <v>15</v>
      </c>
      <c r="I1" t="s">
        <v>14</v>
      </c>
      <c r="J1" t="s">
        <v>12</v>
      </c>
      <c r="K1" t="s">
        <v>14</v>
      </c>
      <c r="L1" t="s">
        <v>22</v>
      </c>
      <c r="M1" t="s">
        <v>14</v>
      </c>
    </row>
    <row r="2" spans="1:13" x14ac:dyDescent="0.2">
      <c r="A2">
        <v>10</v>
      </c>
      <c r="B2">
        <v>4</v>
      </c>
      <c r="C2">
        <v>2</v>
      </c>
      <c r="E2">
        <v>0.11</v>
      </c>
      <c r="F2">
        <v>1.05</v>
      </c>
      <c r="G2">
        <v>40</v>
      </c>
      <c r="I2">
        <v>40</v>
      </c>
      <c r="K2">
        <v>40</v>
      </c>
    </row>
    <row r="3" spans="1:13" x14ac:dyDescent="0.2">
      <c r="A3">
        <v>10</v>
      </c>
      <c r="B3">
        <v>4</v>
      </c>
      <c r="C3">
        <v>2</v>
      </c>
      <c r="E3">
        <v>0.6</v>
      </c>
      <c r="F3">
        <v>1.0900000000000001</v>
      </c>
      <c r="G3">
        <v>41</v>
      </c>
      <c r="I3">
        <v>41</v>
      </c>
      <c r="K3">
        <v>41</v>
      </c>
    </row>
    <row r="4" spans="1:13" x14ac:dyDescent="0.2">
      <c r="A4">
        <v>10</v>
      </c>
      <c r="B4">
        <v>4</v>
      </c>
      <c r="C4">
        <v>2</v>
      </c>
      <c r="E4">
        <v>0.71</v>
      </c>
      <c r="F4">
        <v>1.22</v>
      </c>
      <c r="G4">
        <v>42</v>
      </c>
      <c r="I4">
        <v>42</v>
      </c>
      <c r="K4">
        <v>42</v>
      </c>
    </row>
    <row r="5" spans="1:13" x14ac:dyDescent="0.2">
      <c r="A5">
        <v>10</v>
      </c>
      <c r="B5">
        <v>4</v>
      </c>
      <c r="C5">
        <v>2</v>
      </c>
      <c r="E5">
        <v>0.71</v>
      </c>
      <c r="F5">
        <v>1.35</v>
      </c>
      <c r="G5">
        <v>43</v>
      </c>
      <c r="I5">
        <v>43</v>
      </c>
      <c r="K5">
        <v>43</v>
      </c>
    </row>
    <row r="6" spans="1:13" x14ac:dyDescent="0.2">
      <c r="A6">
        <v>10</v>
      </c>
      <c r="B6">
        <v>4</v>
      </c>
      <c r="C6">
        <v>2</v>
      </c>
      <c r="E6">
        <v>0.15</v>
      </c>
      <c r="F6">
        <v>1.1299999999999999</v>
      </c>
      <c r="G6">
        <v>44</v>
      </c>
      <c r="I6">
        <v>44</v>
      </c>
      <c r="K6">
        <v>44</v>
      </c>
    </row>
    <row r="7" spans="1:13" x14ac:dyDescent="0.2">
      <c r="A7" s="1" t="s">
        <v>10</v>
      </c>
      <c r="B7" s="1"/>
      <c r="C7" s="1"/>
      <c r="D7" s="1"/>
      <c r="E7" s="1">
        <f>AVERAGE(E2:E6)</f>
        <v>0.45599999999999996</v>
      </c>
      <c r="F7" s="1">
        <f>AVERAGE(F2:F6)</f>
        <v>1.1680000000000001</v>
      </c>
      <c r="G7" s="2">
        <f>(E7-F7)/F7</f>
        <v>-0.60958904109589052</v>
      </c>
      <c r="H7" s="1" t="e">
        <f>AVERAGE(H2:H6)</f>
        <v>#DIV/0!</v>
      </c>
      <c r="I7" s="1"/>
      <c r="J7" s="1"/>
      <c r="K7" s="1"/>
    </row>
    <row r="8" spans="1:13" x14ac:dyDescent="0.2">
      <c r="A8">
        <v>15</v>
      </c>
      <c r="B8">
        <v>4</v>
      </c>
      <c r="C8">
        <v>2</v>
      </c>
      <c r="E8">
        <v>0.93</v>
      </c>
      <c r="F8">
        <v>3.51</v>
      </c>
      <c r="G8">
        <v>40</v>
      </c>
      <c r="I8">
        <v>40</v>
      </c>
      <c r="K8">
        <v>40</v>
      </c>
    </row>
    <row r="9" spans="1:13" x14ac:dyDescent="0.2">
      <c r="A9">
        <v>15</v>
      </c>
      <c r="B9">
        <v>4</v>
      </c>
      <c r="C9">
        <v>2</v>
      </c>
      <c r="E9">
        <v>0.87</v>
      </c>
      <c r="F9">
        <v>2.5299999999999998</v>
      </c>
      <c r="G9">
        <v>41</v>
      </c>
      <c r="I9">
        <v>41</v>
      </c>
      <c r="K9">
        <v>41</v>
      </c>
    </row>
    <row r="10" spans="1:13" x14ac:dyDescent="0.2">
      <c r="A10">
        <v>15</v>
      </c>
      <c r="B10">
        <v>4</v>
      </c>
      <c r="C10">
        <v>2</v>
      </c>
      <c r="E10">
        <v>1.49</v>
      </c>
      <c r="F10">
        <v>2.83</v>
      </c>
      <c r="G10">
        <v>42</v>
      </c>
      <c r="I10">
        <v>42</v>
      </c>
      <c r="K10">
        <v>42</v>
      </c>
    </row>
    <row r="11" spans="1:13" x14ac:dyDescent="0.2">
      <c r="A11">
        <v>15</v>
      </c>
      <c r="B11">
        <v>4</v>
      </c>
      <c r="C11">
        <v>2</v>
      </c>
      <c r="E11">
        <v>1.33</v>
      </c>
      <c r="F11">
        <v>2.4</v>
      </c>
      <c r="G11">
        <v>43</v>
      </c>
      <c r="I11">
        <v>43</v>
      </c>
      <c r="K11">
        <v>43</v>
      </c>
    </row>
    <row r="12" spans="1:13" x14ac:dyDescent="0.2">
      <c r="A12">
        <v>15</v>
      </c>
      <c r="B12">
        <v>4</v>
      </c>
      <c r="C12">
        <v>2</v>
      </c>
      <c r="E12">
        <v>1.72</v>
      </c>
      <c r="F12">
        <v>2.66</v>
      </c>
      <c r="G12">
        <v>44</v>
      </c>
      <c r="I12">
        <v>44</v>
      </c>
      <c r="K12">
        <v>44</v>
      </c>
    </row>
    <row r="13" spans="1:13" x14ac:dyDescent="0.2">
      <c r="A13" s="1" t="s">
        <v>10</v>
      </c>
      <c r="B13" s="1"/>
      <c r="C13" s="1"/>
      <c r="D13" s="1"/>
      <c r="E13" s="1">
        <f>AVERAGE(E8:E12)</f>
        <v>1.268</v>
      </c>
      <c r="F13" s="1">
        <f>AVERAGE(F8:F12)</f>
        <v>2.786</v>
      </c>
      <c r="G13" s="2">
        <f>(E13-F13)/F13</f>
        <v>-0.54486719310839915</v>
      </c>
      <c r="H13" s="1" t="e">
        <f>AVERAGE(H8:H12)</f>
        <v>#DIV/0!</v>
      </c>
      <c r="I13" s="1"/>
      <c r="J13" s="1"/>
      <c r="K13" s="1"/>
    </row>
    <row r="14" spans="1:13" x14ac:dyDescent="0.2">
      <c r="A14">
        <v>20</v>
      </c>
      <c r="B14">
        <v>4</v>
      </c>
      <c r="C14">
        <v>2</v>
      </c>
      <c r="E14">
        <v>6.31</v>
      </c>
      <c r="F14">
        <v>8.14</v>
      </c>
      <c r="G14">
        <v>40</v>
      </c>
      <c r="I14">
        <v>40</v>
      </c>
      <c r="K14">
        <v>40</v>
      </c>
    </row>
    <row r="15" spans="1:13" x14ac:dyDescent="0.2">
      <c r="A15">
        <v>20</v>
      </c>
      <c r="B15">
        <v>4</v>
      </c>
      <c r="C15">
        <v>2</v>
      </c>
      <c r="E15">
        <v>4.45</v>
      </c>
      <c r="F15">
        <v>21.04</v>
      </c>
      <c r="G15">
        <v>41</v>
      </c>
      <c r="I15">
        <v>41</v>
      </c>
      <c r="K15">
        <v>41</v>
      </c>
    </row>
    <row r="16" spans="1:13" x14ac:dyDescent="0.2">
      <c r="A16">
        <v>20</v>
      </c>
      <c r="B16">
        <v>4</v>
      </c>
      <c r="C16">
        <v>2</v>
      </c>
      <c r="E16">
        <v>8.91</v>
      </c>
      <c r="F16">
        <v>8.9700000000000006</v>
      </c>
      <c r="G16">
        <v>42</v>
      </c>
      <c r="I16">
        <v>42</v>
      </c>
      <c r="K16">
        <v>42</v>
      </c>
    </row>
    <row r="17" spans="1:21" x14ac:dyDescent="0.2">
      <c r="A17">
        <v>20</v>
      </c>
      <c r="B17">
        <v>4</v>
      </c>
      <c r="C17">
        <v>2</v>
      </c>
      <c r="E17">
        <v>9</v>
      </c>
      <c r="F17">
        <v>5.37</v>
      </c>
      <c r="G17">
        <v>43</v>
      </c>
      <c r="I17">
        <v>43</v>
      </c>
      <c r="K17">
        <v>43</v>
      </c>
      <c r="U17">
        <v>373.45</v>
      </c>
    </row>
    <row r="18" spans="1:21" x14ac:dyDescent="0.2">
      <c r="A18">
        <v>20</v>
      </c>
      <c r="B18">
        <v>4</v>
      </c>
      <c r="C18">
        <v>2</v>
      </c>
      <c r="E18">
        <v>3.35</v>
      </c>
      <c r="F18">
        <v>7</v>
      </c>
      <c r="G18">
        <v>44</v>
      </c>
      <c r="I18">
        <v>44</v>
      </c>
      <c r="K18">
        <v>44</v>
      </c>
      <c r="R18" t="s">
        <v>9</v>
      </c>
      <c r="U18">
        <v>117.97</v>
      </c>
    </row>
    <row r="19" spans="1:21" x14ac:dyDescent="0.2">
      <c r="A19" s="1" t="s">
        <v>10</v>
      </c>
      <c r="B19" s="1"/>
      <c r="C19" s="1"/>
      <c r="D19" s="1"/>
      <c r="E19" s="1">
        <f>AVERAGE(E14:E18)</f>
        <v>6.4040000000000008</v>
      </c>
      <c r="F19" s="1">
        <f>AVERAGE(F14:F18)</f>
        <v>10.103999999999999</v>
      </c>
      <c r="G19" s="2">
        <f>(E19-F19)/F19</f>
        <v>-0.36619160728424371</v>
      </c>
      <c r="H19" s="1" t="e">
        <f>AVERAGE(H14:H18)</f>
        <v>#DIV/0!</v>
      </c>
      <c r="I19" s="1"/>
      <c r="J19" s="1"/>
      <c r="K19" s="1"/>
    </row>
    <row r="20" spans="1:21" x14ac:dyDescent="0.2">
      <c r="A20">
        <v>25</v>
      </c>
      <c r="B20">
        <v>4</v>
      </c>
      <c r="C20">
        <v>2</v>
      </c>
      <c r="E20">
        <v>24.34</v>
      </c>
      <c r="F20">
        <v>58.35</v>
      </c>
      <c r="G20">
        <v>40</v>
      </c>
      <c r="H20">
        <v>90</v>
      </c>
      <c r="I20">
        <v>40</v>
      </c>
      <c r="J20">
        <v>23</v>
      </c>
      <c r="K20">
        <v>40</v>
      </c>
      <c r="R20" t="s">
        <v>4</v>
      </c>
      <c r="U20">
        <v>60.81</v>
      </c>
    </row>
    <row r="21" spans="1:21" x14ac:dyDescent="0.2">
      <c r="A21">
        <v>25</v>
      </c>
      <c r="B21">
        <v>4</v>
      </c>
      <c r="C21">
        <v>2</v>
      </c>
      <c r="E21">
        <v>42.86</v>
      </c>
      <c r="F21">
        <v>140.04</v>
      </c>
      <c r="G21">
        <v>41</v>
      </c>
      <c r="I21">
        <v>41</v>
      </c>
      <c r="K21">
        <v>41</v>
      </c>
      <c r="R21" t="s">
        <v>5</v>
      </c>
      <c r="U21">
        <v>49.43</v>
      </c>
    </row>
    <row r="22" spans="1:21" x14ac:dyDescent="0.2">
      <c r="A22">
        <v>25</v>
      </c>
      <c r="B22">
        <v>4</v>
      </c>
      <c r="C22">
        <v>2</v>
      </c>
      <c r="E22">
        <v>146.34</v>
      </c>
      <c r="F22">
        <v>42.47</v>
      </c>
      <c r="G22">
        <v>42</v>
      </c>
      <c r="I22">
        <v>42</v>
      </c>
      <c r="K22">
        <v>42</v>
      </c>
      <c r="R22" t="s">
        <v>6</v>
      </c>
      <c r="U22">
        <v>37.04</v>
      </c>
    </row>
    <row r="23" spans="1:21" x14ac:dyDescent="0.2">
      <c r="A23">
        <v>25</v>
      </c>
      <c r="B23">
        <v>4</v>
      </c>
      <c r="C23">
        <v>2</v>
      </c>
      <c r="E23">
        <v>26</v>
      </c>
      <c r="F23">
        <v>41.19</v>
      </c>
      <c r="G23">
        <v>43</v>
      </c>
      <c r="I23">
        <v>43</v>
      </c>
      <c r="K23">
        <v>43</v>
      </c>
      <c r="R23" t="s">
        <v>7</v>
      </c>
      <c r="U23">
        <v>68.260000000000005</v>
      </c>
    </row>
    <row r="24" spans="1:21" x14ac:dyDescent="0.2">
      <c r="A24">
        <v>25</v>
      </c>
      <c r="B24">
        <v>4</v>
      </c>
      <c r="C24">
        <v>2</v>
      </c>
      <c r="E24">
        <v>41.09</v>
      </c>
      <c r="F24">
        <v>18.059999999999999</v>
      </c>
      <c r="G24">
        <v>44</v>
      </c>
      <c r="H24">
        <v>69</v>
      </c>
      <c r="I24">
        <v>44</v>
      </c>
      <c r="K24">
        <v>44</v>
      </c>
      <c r="R24" t="s">
        <v>8</v>
      </c>
      <c r="U24">
        <v>39.93</v>
      </c>
    </row>
    <row r="25" spans="1:21" x14ac:dyDescent="0.2">
      <c r="A25" s="1" t="s">
        <v>10</v>
      </c>
      <c r="B25" s="1"/>
      <c r="C25" s="1"/>
      <c r="D25" s="1"/>
      <c r="E25" s="1">
        <f>AVERAGE(E20:E24)</f>
        <v>56.125999999999998</v>
      </c>
      <c r="F25" s="1">
        <f>AVERAGE(F20:F24)</f>
        <v>60.021999999999991</v>
      </c>
      <c r="G25" s="2">
        <f>(E25-F25)/F25</f>
        <v>-6.4909533171170472E-2</v>
      </c>
      <c r="H25" s="1">
        <f>AVERAGE(H20:H24)</f>
        <v>79.5</v>
      </c>
      <c r="I25" s="1"/>
      <c r="J25" s="1"/>
      <c r="K25" s="1"/>
    </row>
    <row r="26" spans="1:21" x14ac:dyDescent="0.2">
      <c r="A26">
        <v>30</v>
      </c>
      <c r="B26">
        <v>4</v>
      </c>
      <c r="C26">
        <v>2</v>
      </c>
      <c r="E26">
        <v>765.01</v>
      </c>
      <c r="F26">
        <v>82.59</v>
      </c>
      <c r="G26">
        <v>40</v>
      </c>
      <c r="H26">
        <v>70</v>
      </c>
      <c r="I26">
        <v>40</v>
      </c>
      <c r="J26">
        <v>59.3</v>
      </c>
      <c r="K26">
        <v>40</v>
      </c>
    </row>
    <row r="27" spans="1:21" x14ac:dyDescent="0.2">
      <c r="A27">
        <v>30</v>
      </c>
      <c r="B27">
        <v>4</v>
      </c>
      <c r="C27">
        <v>2</v>
      </c>
      <c r="D27">
        <v>437.55</v>
      </c>
      <c r="E27">
        <v>148.41999999999999</v>
      </c>
      <c r="F27">
        <v>15.29</v>
      </c>
      <c r="G27">
        <v>41</v>
      </c>
      <c r="H27">
        <v>60</v>
      </c>
      <c r="I27">
        <v>41</v>
      </c>
      <c r="J27">
        <v>26</v>
      </c>
      <c r="K27">
        <v>41</v>
      </c>
      <c r="L27">
        <v>62</v>
      </c>
    </row>
    <row r="28" spans="1:21" x14ac:dyDescent="0.2">
      <c r="A28">
        <v>30</v>
      </c>
      <c r="B28">
        <v>4</v>
      </c>
      <c r="C28">
        <v>2</v>
      </c>
      <c r="E28">
        <v>57</v>
      </c>
      <c r="F28">
        <v>204</v>
      </c>
      <c r="G28">
        <v>42</v>
      </c>
      <c r="I28">
        <v>42</v>
      </c>
      <c r="K28">
        <v>42</v>
      </c>
    </row>
    <row r="29" spans="1:21" x14ac:dyDescent="0.2">
      <c r="A29">
        <v>30</v>
      </c>
      <c r="B29">
        <v>4</v>
      </c>
      <c r="C29">
        <v>2</v>
      </c>
      <c r="E29">
        <v>363.61</v>
      </c>
      <c r="F29">
        <v>29.88</v>
      </c>
      <c r="G29">
        <v>43</v>
      </c>
      <c r="I29">
        <v>43</v>
      </c>
      <c r="K29">
        <v>43</v>
      </c>
    </row>
    <row r="30" spans="1:21" x14ac:dyDescent="0.2">
      <c r="A30">
        <v>30</v>
      </c>
      <c r="B30">
        <v>4</v>
      </c>
      <c r="C30">
        <v>2</v>
      </c>
      <c r="E30">
        <v>18.18</v>
      </c>
      <c r="F30">
        <v>15.12</v>
      </c>
      <c r="G30">
        <v>44</v>
      </c>
      <c r="I30">
        <v>44</v>
      </c>
      <c r="K30">
        <v>44</v>
      </c>
    </row>
    <row r="31" spans="1:21" x14ac:dyDescent="0.2">
      <c r="A31" s="1" t="s">
        <v>10</v>
      </c>
      <c r="B31" s="1"/>
      <c r="C31" s="1"/>
      <c r="D31" s="1"/>
      <c r="E31" s="1">
        <f>AVERAGE(E26:E30)</f>
        <v>270.44400000000002</v>
      </c>
      <c r="F31" s="1">
        <f>AVERAGE(F26:F30)</f>
        <v>69.376000000000005</v>
      </c>
      <c r="G31" s="2">
        <f>(E31-F31)/F31</f>
        <v>2.8982357011070112</v>
      </c>
      <c r="H31" s="1">
        <f>AVERAGE(H26:H30)</f>
        <v>65</v>
      </c>
      <c r="I31" s="1"/>
      <c r="J31" s="1">
        <f>AVERAGE(J26:J30)</f>
        <v>42.65</v>
      </c>
      <c r="K31" s="2">
        <f>(E31-J31)/E31</f>
        <v>0.84229637189214768</v>
      </c>
    </row>
    <row r="32" spans="1:21" x14ac:dyDescent="0.2">
      <c r="A32">
        <v>35</v>
      </c>
      <c r="B32">
        <v>4</v>
      </c>
      <c r="C32">
        <v>2</v>
      </c>
      <c r="E32">
        <v>3600.51</v>
      </c>
      <c r="F32">
        <v>399.44</v>
      </c>
      <c r="G32">
        <v>40</v>
      </c>
      <c r="I32">
        <v>40</v>
      </c>
      <c r="K32">
        <v>40</v>
      </c>
    </row>
    <row r="33" spans="1:11" x14ac:dyDescent="0.2">
      <c r="A33">
        <v>35</v>
      </c>
      <c r="B33">
        <v>4</v>
      </c>
      <c r="C33">
        <v>2</v>
      </c>
      <c r="G33">
        <v>41</v>
      </c>
      <c r="I33">
        <v>41</v>
      </c>
      <c r="K33">
        <v>41</v>
      </c>
    </row>
    <row r="34" spans="1:11" x14ac:dyDescent="0.2">
      <c r="A34">
        <v>35</v>
      </c>
      <c r="B34">
        <v>4</v>
      </c>
      <c r="C34">
        <v>2</v>
      </c>
      <c r="G34">
        <v>42</v>
      </c>
      <c r="I34">
        <v>42</v>
      </c>
      <c r="K34">
        <v>42</v>
      </c>
    </row>
    <row r="35" spans="1:11" x14ac:dyDescent="0.2">
      <c r="A35">
        <v>35</v>
      </c>
      <c r="B35">
        <v>4</v>
      </c>
      <c r="C35">
        <v>2</v>
      </c>
      <c r="G35">
        <v>43</v>
      </c>
      <c r="I35">
        <v>43</v>
      </c>
      <c r="K35">
        <v>43</v>
      </c>
    </row>
    <row r="36" spans="1:11" x14ac:dyDescent="0.2">
      <c r="A36">
        <v>35</v>
      </c>
      <c r="B36">
        <v>4</v>
      </c>
      <c r="C36">
        <v>2</v>
      </c>
      <c r="G36">
        <v>44</v>
      </c>
      <c r="I36">
        <v>44</v>
      </c>
      <c r="K36">
        <v>44</v>
      </c>
    </row>
    <row r="37" spans="1:11" x14ac:dyDescent="0.2">
      <c r="A37" s="1" t="s">
        <v>10</v>
      </c>
      <c r="B37" s="1"/>
      <c r="C37" s="1"/>
      <c r="D37" s="1"/>
      <c r="E37" s="1">
        <f>AVERAGE(E32:E36)</f>
        <v>3600.51</v>
      </c>
      <c r="F37" s="1">
        <f>AVERAGE(F32:F36)</f>
        <v>399.44</v>
      </c>
      <c r="G37" s="2">
        <f>(E37-F37)/F37</f>
        <v>8.0138944522331261</v>
      </c>
      <c r="H37" s="1" t="e">
        <f>AVERAGE(H32:H36)</f>
        <v>#DIV/0!</v>
      </c>
      <c r="I37" s="1"/>
      <c r="J37" s="1"/>
      <c r="K37" s="1"/>
    </row>
    <row r="38" spans="1:11" x14ac:dyDescent="0.2">
      <c r="A38">
        <v>40</v>
      </c>
      <c r="B38">
        <v>4</v>
      </c>
      <c r="C38">
        <v>2</v>
      </c>
      <c r="E38" s="3" t="s">
        <v>11</v>
      </c>
      <c r="F38">
        <v>398.38</v>
      </c>
      <c r="G38">
        <v>40</v>
      </c>
      <c r="H38">
        <v>479.72</v>
      </c>
      <c r="I38">
        <v>40</v>
      </c>
      <c r="J38">
        <v>94.81</v>
      </c>
      <c r="K38">
        <v>40</v>
      </c>
    </row>
    <row r="39" spans="1:11" x14ac:dyDescent="0.2">
      <c r="A39">
        <v>40</v>
      </c>
      <c r="B39">
        <v>4</v>
      </c>
      <c r="C39">
        <v>2</v>
      </c>
      <c r="G39">
        <v>41</v>
      </c>
      <c r="I39">
        <v>41</v>
      </c>
      <c r="K39">
        <v>41</v>
      </c>
    </row>
    <row r="40" spans="1:11" x14ac:dyDescent="0.2">
      <c r="A40">
        <v>40</v>
      </c>
      <c r="B40">
        <v>4</v>
      </c>
      <c r="C40">
        <v>2</v>
      </c>
      <c r="E40">
        <v>470.89</v>
      </c>
      <c r="F40" s="3">
        <v>1800</v>
      </c>
      <c r="G40">
        <v>42</v>
      </c>
      <c r="I40">
        <v>42</v>
      </c>
      <c r="J40" s="3">
        <v>124</v>
      </c>
      <c r="K40">
        <v>42</v>
      </c>
    </row>
    <row r="41" spans="1:11" x14ac:dyDescent="0.2">
      <c r="A41">
        <v>40</v>
      </c>
      <c r="B41">
        <v>4</v>
      </c>
      <c r="C41">
        <v>2</v>
      </c>
      <c r="G41">
        <v>43</v>
      </c>
      <c r="I41">
        <v>43</v>
      </c>
      <c r="K41">
        <v>43</v>
      </c>
    </row>
    <row r="42" spans="1:11" x14ac:dyDescent="0.2">
      <c r="A42">
        <v>40</v>
      </c>
      <c r="B42">
        <v>4</v>
      </c>
      <c r="C42">
        <v>2</v>
      </c>
      <c r="G42">
        <v>44</v>
      </c>
      <c r="I42">
        <v>44</v>
      </c>
      <c r="K42">
        <v>44</v>
      </c>
    </row>
    <row r="43" spans="1:11" x14ac:dyDescent="0.2">
      <c r="A43" s="1" t="s">
        <v>10</v>
      </c>
      <c r="B43" s="1"/>
      <c r="C43" s="1"/>
      <c r="D43" s="1"/>
      <c r="E43" s="1">
        <f>AVERAGE(E38:E41)</f>
        <v>470.89</v>
      </c>
      <c r="F43" s="1">
        <f>AVERAGE(F38:F42)</f>
        <v>1099.19</v>
      </c>
      <c r="G43" s="2">
        <f>(E43-F43)/F43</f>
        <v>-0.5716027256434284</v>
      </c>
      <c r="H43" s="1">
        <f>AVERAGE(H38:H42)</f>
        <v>479.72</v>
      </c>
      <c r="I43" s="2">
        <f>(E43-H43)/H43</f>
        <v>-1.84065704994581E-2</v>
      </c>
      <c r="J43" s="1">
        <f>AVERAGE(J38:J42)</f>
        <v>109.405</v>
      </c>
      <c r="K43" s="1">
        <f>AVERAGE(K38:K42)</f>
        <v>42</v>
      </c>
    </row>
    <row r="50" spans="9:9" x14ac:dyDescent="0.2">
      <c r="I50" t="s">
        <v>16</v>
      </c>
    </row>
    <row r="51" spans="9:9" x14ac:dyDescent="0.2">
      <c r="I51" t="s">
        <v>17</v>
      </c>
    </row>
    <row r="52" spans="9:9" x14ac:dyDescent="0.2">
      <c r="I52" t="s">
        <v>18</v>
      </c>
    </row>
    <row r="53" spans="9:9" x14ac:dyDescent="0.2">
      <c r="I53" t="s">
        <v>19</v>
      </c>
    </row>
    <row r="54" spans="9:9" x14ac:dyDescent="0.2">
      <c r="I54" t="s">
        <v>20</v>
      </c>
    </row>
    <row r="55" spans="9:9" x14ac:dyDescent="0.2">
      <c r="I55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22E9-A462-684D-B759-177DDBEAD981}">
  <sheetPr filterMode="1"/>
  <dimension ref="A1:N670"/>
  <sheetViews>
    <sheetView zoomScale="144" zoomScaleNormal="144" workbookViewId="0">
      <pane ySplit="7" topLeftCell="A255" activePane="bottomLeft" state="frozen"/>
      <selection pane="bottomLeft" activeCell="C206" sqref="C206:C267"/>
    </sheetView>
  </sheetViews>
  <sheetFormatPr baseColWidth="10" defaultRowHeight="16" x14ac:dyDescent="0.2"/>
  <cols>
    <col min="1" max="1" width="15.83203125" customWidth="1"/>
    <col min="2" max="2" width="11.6640625" customWidth="1"/>
    <col min="3" max="3" width="10.6640625" bestFit="1" customWidth="1"/>
    <col min="4" max="7" width="10.83203125" customWidth="1"/>
    <col min="8" max="8" width="10.83203125" style="23" customWidth="1"/>
    <col min="9" max="9" width="10.83203125" style="24"/>
    <col min="10" max="10" width="10.83203125" style="25"/>
    <col min="13" max="13" width="12.83203125" customWidth="1"/>
    <col min="14" max="14" width="13.33203125" customWidth="1"/>
  </cols>
  <sheetData>
    <row r="1" spans="1:10" x14ac:dyDescent="0.2">
      <c r="A1" s="11" t="s">
        <v>339</v>
      </c>
      <c r="B1" s="11" t="s">
        <v>337</v>
      </c>
      <c r="C1" s="11" t="s">
        <v>338</v>
      </c>
    </row>
    <row r="2" spans="1:10" x14ac:dyDescent="0.2">
      <c r="A2" s="12">
        <v>15</v>
      </c>
      <c r="B2">
        <f>AVERAGEIFS(I:I, D:D, 15, B:B, "c")</f>
        <v>16.282049500055045</v>
      </c>
      <c r="C2">
        <f>AVERAGEIFS(I:I, D:D, 15, B:B, "bp")</f>
        <v>49.129772305610203</v>
      </c>
    </row>
    <row r="3" spans="1:10" x14ac:dyDescent="0.2">
      <c r="A3" s="12">
        <v>20</v>
      </c>
      <c r="B3">
        <f>AVERAGEIFS(I:I, D:D, 20, B:B, "c")</f>
        <v>15.963313043117489</v>
      </c>
      <c r="C3">
        <f>AVERAGEIFS(I:I, D:D, 20, B:B, "bp")</f>
        <v>32.365006286609614</v>
      </c>
    </row>
    <row r="4" spans="1:10" x14ac:dyDescent="0.2">
      <c r="A4" s="12">
        <v>30</v>
      </c>
      <c r="B4">
        <f>AVERAGEIFS(I:I, D:D, 30, B:B, "c")</f>
        <v>310.14074151118558</v>
      </c>
      <c r="C4">
        <f>AVERAGEIFS(I:I, D:D, 30, B:B, "bp")</f>
        <v>293.17765193915949</v>
      </c>
    </row>
    <row r="5" spans="1:10" x14ac:dyDescent="0.2">
      <c r="A5" s="12">
        <v>50</v>
      </c>
      <c r="B5">
        <f>AVERAGEIFS(I:I, D:D, 50, B:B, "c")</f>
        <v>4683.7873770226661</v>
      </c>
      <c r="C5">
        <f>AVERAGEIFS(I:I, D:D, 50, B:B, "bp")</f>
        <v>3174.1989590564317</v>
      </c>
    </row>
    <row r="6" spans="1:10" x14ac:dyDescent="0.2">
      <c r="A6" s="12">
        <v>100</v>
      </c>
      <c r="B6">
        <f>AVERAGEIFS(I:I, D:D, 100, B:B, "c")</f>
        <v>10929.932951748324</v>
      </c>
      <c r="C6">
        <v>90356</v>
      </c>
      <c r="D6" s="30" t="s">
        <v>371</v>
      </c>
    </row>
    <row r="7" spans="1:10" x14ac:dyDescent="0.2">
      <c r="A7" s="12"/>
      <c r="D7" s="30"/>
    </row>
    <row r="8" spans="1:10" x14ac:dyDescent="0.2">
      <c r="A8" s="11" t="s">
        <v>336</v>
      </c>
      <c r="B8" s="11" t="s">
        <v>32</v>
      </c>
      <c r="C8" s="11" t="s">
        <v>38</v>
      </c>
      <c r="D8" s="11" t="s">
        <v>39</v>
      </c>
      <c r="E8" s="11" t="s">
        <v>40</v>
      </c>
      <c r="F8" s="11" t="s">
        <v>41</v>
      </c>
      <c r="G8" s="11" t="s">
        <v>42</v>
      </c>
      <c r="H8" s="11" t="s">
        <v>334</v>
      </c>
      <c r="I8" s="11" t="s">
        <v>43</v>
      </c>
      <c r="J8" s="13" t="s">
        <v>335</v>
      </c>
    </row>
    <row r="9" spans="1:10" hidden="1" x14ac:dyDescent="0.2">
      <c r="A9" s="11" t="s">
        <v>33</v>
      </c>
      <c r="B9" s="12" t="s">
        <v>36</v>
      </c>
      <c r="C9" s="12" t="s">
        <v>44</v>
      </c>
      <c r="D9" s="12">
        <v>15</v>
      </c>
      <c r="E9" s="12">
        <v>4</v>
      </c>
      <c r="F9" s="12">
        <v>2</v>
      </c>
      <c r="G9" s="12">
        <v>4</v>
      </c>
      <c r="H9" s="14">
        <v>444.27821355770499</v>
      </c>
      <c r="I9" s="15">
        <v>1.221319</v>
      </c>
      <c r="J9" s="16"/>
    </row>
    <row r="10" spans="1:10" hidden="1" x14ac:dyDescent="0.2">
      <c r="A10" s="11" t="s">
        <v>33</v>
      </c>
      <c r="B10" s="12" t="s">
        <v>36</v>
      </c>
      <c r="C10" s="12" t="s">
        <v>45</v>
      </c>
      <c r="D10" s="12">
        <v>15</v>
      </c>
      <c r="E10" s="12">
        <v>7</v>
      </c>
      <c r="F10" s="12">
        <v>4</v>
      </c>
      <c r="G10" s="12">
        <v>3</v>
      </c>
      <c r="H10" s="14">
        <v>404.26001495053998</v>
      </c>
      <c r="I10" s="15">
        <v>6.3748049736022896</v>
      </c>
      <c r="J10" s="16" t="s">
        <v>333</v>
      </c>
    </row>
    <row r="11" spans="1:10" hidden="1" x14ac:dyDescent="0.2">
      <c r="A11" s="11" t="s">
        <v>35</v>
      </c>
      <c r="B11" s="12" t="s">
        <v>36</v>
      </c>
      <c r="C11" s="12" t="s">
        <v>46</v>
      </c>
      <c r="D11" s="12">
        <v>15</v>
      </c>
      <c r="E11" s="12">
        <v>9</v>
      </c>
      <c r="F11" s="12">
        <v>5</v>
      </c>
      <c r="G11" s="12">
        <v>3</v>
      </c>
      <c r="H11" s="14">
        <v>423.66545885005002</v>
      </c>
      <c r="I11" s="15">
        <v>31.1671109199523</v>
      </c>
      <c r="J11" s="16" t="s">
        <v>333</v>
      </c>
    </row>
    <row r="12" spans="1:10" hidden="1" x14ac:dyDescent="0.2">
      <c r="A12" s="11" t="s">
        <v>35</v>
      </c>
      <c r="B12" s="12" t="s">
        <v>36</v>
      </c>
      <c r="C12" s="12" t="s">
        <v>47</v>
      </c>
      <c r="D12" s="12">
        <v>15</v>
      </c>
      <c r="E12" s="12">
        <v>4</v>
      </c>
      <c r="F12" s="12">
        <v>2</v>
      </c>
      <c r="G12" s="12">
        <v>5</v>
      </c>
      <c r="H12" s="14">
        <v>381.38661998751297</v>
      </c>
      <c r="I12" s="15">
        <v>1.46733093261718</v>
      </c>
      <c r="J12" s="16" t="s">
        <v>333</v>
      </c>
    </row>
    <row r="13" spans="1:10" hidden="1" x14ac:dyDescent="0.2">
      <c r="A13" s="11" t="s">
        <v>35</v>
      </c>
      <c r="B13" s="12" t="s">
        <v>36</v>
      </c>
      <c r="C13" s="12" t="s">
        <v>48</v>
      </c>
      <c r="D13" s="12">
        <v>15</v>
      </c>
      <c r="E13" s="12">
        <v>7</v>
      </c>
      <c r="F13" s="12">
        <v>4</v>
      </c>
      <c r="G13" s="12">
        <v>4</v>
      </c>
      <c r="H13" s="14">
        <v>376.67449743063497</v>
      </c>
      <c r="I13" s="15">
        <v>1.0406470298767001</v>
      </c>
      <c r="J13" s="16" t="s">
        <v>333</v>
      </c>
    </row>
    <row r="14" spans="1:10" hidden="1" x14ac:dyDescent="0.2">
      <c r="A14" s="11" t="s">
        <v>35</v>
      </c>
      <c r="B14" s="12" t="s">
        <v>36</v>
      </c>
      <c r="C14" s="12" t="s">
        <v>49</v>
      </c>
      <c r="D14" s="12">
        <v>15</v>
      </c>
      <c r="E14" s="12">
        <v>9</v>
      </c>
      <c r="F14" s="12">
        <v>5</v>
      </c>
      <c r="G14" s="12">
        <v>3</v>
      </c>
      <c r="H14" s="14">
        <v>416.41796001933699</v>
      </c>
      <c r="I14" s="15">
        <v>15.8927860260009</v>
      </c>
      <c r="J14" s="16" t="s">
        <v>333</v>
      </c>
    </row>
    <row r="15" spans="1:10" hidden="1" x14ac:dyDescent="0.2">
      <c r="A15" s="11" t="s">
        <v>35</v>
      </c>
      <c r="B15" s="12" t="s">
        <v>36</v>
      </c>
      <c r="C15" s="12" t="s">
        <v>50</v>
      </c>
      <c r="D15" s="12">
        <v>15</v>
      </c>
      <c r="E15" s="12">
        <v>4</v>
      </c>
      <c r="F15" s="12">
        <v>2</v>
      </c>
      <c r="G15" s="12">
        <v>4</v>
      </c>
      <c r="H15" s="14">
        <v>414.09153328182401</v>
      </c>
      <c r="I15" s="15">
        <v>0.73607397079467696</v>
      </c>
      <c r="J15" s="16" t="s">
        <v>333</v>
      </c>
    </row>
    <row r="16" spans="1:10" hidden="1" x14ac:dyDescent="0.2">
      <c r="A16" s="11" t="s">
        <v>35</v>
      </c>
      <c r="B16" s="12" t="s">
        <v>36</v>
      </c>
      <c r="C16" s="12" t="s">
        <v>51</v>
      </c>
      <c r="D16" s="12">
        <v>15</v>
      </c>
      <c r="E16" s="12">
        <v>7</v>
      </c>
      <c r="F16" s="12">
        <v>4</v>
      </c>
      <c r="G16" s="12">
        <v>3</v>
      </c>
      <c r="H16" s="14">
        <v>314.63320825020799</v>
      </c>
      <c r="I16" s="15">
        <v>3.3973319530486998</v>
      </c>
      <c r="J16" s="16" t="s">
        <v>333</v>
      </c>
    </row>
    <row r="17" spans="1:10" hidden="1" x14ac:dyDescent="0.2">
      <c r="A17" s="11" t="s">
        <v>37</v>
      </c>
      <c r="B17" s="12" t="s">
        <v>36</v>
      </c>
      <c r="C17" s="12" t="s">
        <v>52</v>
      </c>
      <c r="D17" s="12">
        <v>15</v>
      </c>
      <c r="E17" s="12">
        <v>9</v>
      </c>
      <c r="F17" s="12">
        <v>5</v>
      </c>
      <c r="G17" s="12">
        <v>3</v>
      </c>
      <c r="H17" s="14">
        <v>425.37973631976899</v>
      </c>
      <c r="I17" s="15">
        <v>30.735579967498701</v>
      </c>
      <c r="J17" s="16" t="s">
        <v>333</v>
      </c>
    </row>
    <row r="18" spans="1:10" hidden="1" x14ac:dyDescent="0.2">
      <c r="A18" s="11" t="s">
        <v>35</v>
      </c>
      <c r="B18" s="12" t="s">
        <v>36</v>
      </c>
      <c r="C18" s="12" t="s">
        <v>53</v>
      </c>
      <c r="D18" s="12">
        <v>15</v>
      </c>
      <c r="E18" s="12">
        <v>4</v>
      </c>
      <c r="F18" s="12">
        <v>2</v>
      </c>
      <c r="G18" s="12">
        <v>4</v>
      </c>
      <c r="H18" s="14">
        <v>434.61897856392301</v>
      </c>
      <c r="I18" s="15">
        <v>2.6632719039916899</v>
      </c>
      <c r="J18" s="16" t="s">
        <v>333</v>
      </c>
    </row>
    <row r="19" spans="1:10" hidden="1" x14ac:dyDescent="0.2">
      <c r="A19" s="11" t="s">
        <v>35</v>
      </c>
      <c r="B19" s="12" t="s">
        <v>36</v>
      </c>
      <c r="C19" s="12" t="s">
        <v>54</v>
      </c>
      <c r="D19" s="12">
        <v>15</v>
      </c>
      <c r="E19" s="12">
        <v>7</v>
      </c>
      <c r="F19" s="12">
        <v>4</v>
      </c>
      <c r="G19" s="12">
        <v>3</v>
      </c>
      <c r="H19" s="14">
        <v>326.76295231178699</v>
      </c>
      <c r="I19" s="15">
        <v>8.1908760070800692</v>
      </c>
      <c r="J19" s="16" t="s">
        <v>333</v>
      </c>
    </row>
    <row r="20" spans="1:10" hidden="1" x14ac:dyDescent="0.2">
      <c r="A20" s="11" t="s">
        <v>56</v>
      </c>
      <c r="B20" s="12" t="s">
        <v>36</v>
      </c>
      <c r="C20" s="12" t="s">
        <v>57</v>
      </c>
      <c r="D20" s="12">
        <v>15</v>
      </c>
      <c r="E20" s="12">
        <v>9</v>
      </c>
      <c r="F20" s="12">
        <v>5</v>
      </c>
      <c r="G20" s="12">
        <v>3</v>
      </c>
      <c r="H20" s="14">
        <v>346.86601759865601</v>
      </c>
      <c r="I20" s="15">
        <v>18.752264022827099</v>
      </c>
      <c r="J20" s="16" t="s">
        <v>333</v>
      </c>
    </row>
    <row r="21" spans="1:10" hidden="1" x14ac:dyDescent="0.2">
      <c r="A21" s="11"/>
      <c r="B21" s="12" t="s">
        <v>36</v>
      </c>
      <c r="C21" s="12" t="s">
        <v>58</v>
      </c>
      <c r="D21" s="12">
        <v>15</v>
      </c>
      <c r="E21" s="12">
        <v>4</v>
      </c>
      <c r="F21" s="12">
        <v>2</v>
      </c>
      <c r="G21" s="12">
        <v>4</v>
      </c>
      <c r="H21" s="14">
        <v>395.878125988813</v>
      </c>
      <c r="I21" s="15">
        <v>0.68569016456604004</v>
      </c>
      <c r="J21" s="16" t="s">
        <v>333</v>
      </c>
    </row>
    <row r="22" spans="1:10" hidden="1" x14ac:dyDescent="0.2">
      <c r="A22" s="11" t="s">
        <v>33</v>
      </c>
      <c r="B22" s="12" t="s">
        <v>36</v>
      </c>
      <c r="C22" s="12" t="s">
        <v>59</v>
      </c>
      <c r="D22" s="12">
        <v>15</v>
      </c>
      <c r="E22" s="12">
        <v>7</v>
      </c>
      <c r="F22" s="12">
        <v>4</v>
      </c>
      <c r="G22" s="12">
        <v>3</v>
      </c>
      <c r="H22" s="14">
        <v>298.27040084693903</v>
      </c>
      <c r="I22" s="15">
        <v>2.8569278717040998</v>
      </c>
      <c r="J22" s="16" t="s">
        <v>333</v>
      </c>
    </row>
    <row r="23" spans="1:10" hidden="1" x14ac:dyDescent="0.2">
      <c r="A23" s="11" t="s">
        <v>55</v>
      </c>
      <c r="B23" s="12" t="s">
        <v>36</v>
      </c>
      <c r="C23" s="12" t="s">
        <v>60</v>
      </c>
      <c r="D23" s="12">
        <v>15</v>
      </c>
      <c r="E23" s="12">
        <v>9</v>
      </c>
      <c r="F23" s="12">
        <v>5</v>
      </c>
      <c r="G23" s="12">
        <v>3</v>
      </c>
      <c r="H23" s="14">
        <v>356.33501999999999</v>
      </c>
      <c r="I23" s="15">
        <v>6.0201995999999998</v>
      </c>
      <c r="J23" s="16" t="s">
        <v>333</v>
      </c>
    </row>
    <row r="24" spans="1:10" hidden="1" x14ac:dyDescent="0.2">
      <c r="A24" s="11" t="s">
        <v>33</v>
      </c>
      <c r="B24" s="12" t="s">
        <v>36</v>
      </c>
      <c r="C24" s="12" t="s">
        <v>61</v>
      </c>
      <c r="D24" s="12">
        <v>15</v>
      </c>
      <c r="E24" s="12">
        <v>4</v>
      </c>
      <c r="F24" s="12">
        <v>2</v>
      </c>
      <c r="G24" s="12">
        <v>4</v>
      </c>
      <c r="H24" s="14">
        <v>448.96694351596699</v>
      </c>
      <c r="I24" s="15">
        <v>1.4762890338897701</v>
      </c>
      <c r="J24" s="16" t="s">
        <v>333</v>
      </c>
    </row>
    <row r="25" spans="1:10" hidden="1" x14ac:dyDescent="0.2">
      <c r="A25" s="11" t="s">
        <v>33</v>
      </c>
      <c r="B25" s="12" t="s">
        <v>36</v>
      </c>
      <c r="C25" s="12" t="s">
        <v>62</v>
      </c>
      <c r="D25" s="12">
        <v>15</v>
      </c>
      <c r="E25" s="12">
        <v>7</v>
      </c>
      <c r="F25" s="12">
        <v>4</v>
      </c>
      <c r="G25" s="12">
        <v>3</v>
      </c>
      <c r="H25" s="14">
        <v>396.27406751242398</v>
      </c>
      <c r="I25" s="15">
        <v>7.8416180610656703</v>
      </c>
      <c r="J25" s="16" t="s">
        <v>333</v>
      </c>
    </row>
    <row r="26" spans="1:10" hidden="1" x14ac:dyDescent="0.2">
      <c r="A26" s="11" t="s">
        <v>56</v>
      </c>
      <c r="B26" s="12" t="s">
        <v>36</v>
      </c>
      <c r="C26" s="12" t="s">
        <v>63</v>
      </c>
      <c r="D26" s="12">
        <v>15</v>
      </c>
      <c r="E26" s="12">
        <v>9</v>
      </c>
      <c r="F26" s="12">
        <v>5</v>
      </c>
      <c r="G26" s="12">
        <v>3</v>
      </c>
      <c r="H26" s="14">
        <v>434.295514907832</v>
      </c>
      <c r="I26" s="15">
        <v>72.207765102386404</v>
      </c>
      <c r="J26" s="16" t="s">
        <v>333</v>
      </c>
    </row>
    <row r="27" spans="1:10" hidden="1" x14ac:dyDescent="0.2">
      <c r="A27" s="11" t="s">
        <v>56</v>
      </c>
      <c r="B27" s="12" t="s">
        <v>36</v>
      </c>
      <c r="C27" s="12" t="s">
        <v>64</v>
      </c>
      <c r="D27" s="12">
        <v>15</v>
      </c>
      <c r="E27" s="12">
        <v>4</v>
      </c>
      <c r="F27" s="12">
        <v>2</v>
      </c>
      <c r="G27" s="12">
        <v>4</v>
      </c>
      <c r="H27" s="14">
        <v>352.02200517602699</v>
      </c>
      <c r="I27" s="15">
        <v>1.0082719326019201</v>
      </c>
      <c r="J27" s="16" t="s">
        <v>333</v>
      </c>
    </row>
    <row r="28" spans="1:10" hidden="1" x14ac:dyDescent="0.2">
      <c r="A28" s="11" t="s">
        <v>56</v>
      </c>
      <c r="B28" s="12" t="s">
        <v>36</v>
      </c>
      <c r="C28" s="12" t="s">
        <v>65</v>
      </c>
      <c r="D28" s="12">
        <v>15</v>
      </c>
      <c r="E28" s="12">
        <v>7</v>
      </c>
      <c r="F28" s="12">
        <v>4</v>
      </c>
      <c r="G28" s="12">
        <v>3</v>
      </c>
      <c r="H28" s="14">
        <v>376.01188940240598</v>
      </c>
      <c r="I28" s="15">
        <v>6.5580480098724303</v>
      </c>
      <c r="J28" s="16" t="s">
        <v>333</v>
      </c>
    </row>
    <row r="29" spans="1:10" hidden="1" x14ac:dyDescent="0.2">
      <c r="A29" s="11" t="s">
        <v>56</v>
      </c>
      <c r="B29" s="12" t="s">
        <v>36</v>
      </c>
      <c r="C29" s="12" t="s">
        <v>66</v>
      </c>
      <c r="D29" s="12">
        <v>15</v>
      </c>
      <c r="E29" s="12">
        <v>9</v>
      </c>
      <c r="F29" s="12">
        <v>5</v>
      </c>
      <c r="G29" s="12">
        <v>4</v>
      </c>
      <c r="H29" s="14">
        <v>431.01594474504799</v>
      </c>
      <c r="I29" s="15">
        <v>21.393181085586502</v>
      </c>
      <c r="J29" s="16" t="s">
        <v>333</v>
      </c>
    </row>
    <row r="30" spans="1:10" hidden="1" x14ac:dyDescent="0.2">
      <c r="A30" s="11" t="s">
        <v>56</v>
      </c>
      <c r="B30" s="12" t="s">
        <v>36</v>
      </c>
      <c r="C30" s="12" t="s">
        <v>67</v>
      </c>
      <c r="D30" s="12">
        <v>15</v>
      </c>
      <c r="E30" s="12">
        <v>4</v>
      </c>
      <c r="F30" s="12">
        <v>2</v>
      </c>
      <c r="G30" s="12">
        <v>4</v>
      </c>
      <c r="H30" s="14">
        <v>428.753736186151</v>
      </c>
      <c r="I30" s="15">
        <v>0.65907478332519498</v>
      </c>
      <c r="J30" s="16" t="s">
        <v>333</v>
      </c>
    </row>
    <row r="31" spans="1:10" hidden="1" x14ac:dyDescent="0.2">
      <c r="A31" s="11" t="s">
        <v>55</v>
      </c>
      <c r="B31" s="12" t="s">
        <v>36</v>
      </c>
      <c r="C31" s="12" t="s">
        <v>68</v>
      </c>
      <c r="D31" s="12">
        <v>15</v>
      </c>
      <c r="E31" s="12">
        <v>7</v>
      </c>
      <c r="F31" s="12">
        <v>4</v>
      </c>
      <c r="G31" s="12">
        <v>3</v>
      </c>
      <c r="H31" s="14">
        <v>316.02815874596399</v>
      </c>
      <c r="I31" s="15">
        <v>21.835446834564198</v>
      </c>
      <c r="J31" s="16" t="s">
        <v>333</v>
      </c>
    </row>
    <row r="32" spans="1:10" hidden="1" x14ac:dyDescent="0.2">
      <c r="A32" s="11" t="s">
        <v>56</v>
      </c>
      <c r="B32" s="12" t="s">
        <v>36</v>
      </c>
      <c r="C32" s="12" t="s">
        <v>69</v>
      </c>
      <c r="D32" s="12">
        <v>15</v>
      </c>
      <c r="E32" s="12">
        <v>9</v>
      </c>
      <c r="F32" s="12">
        <v>5</v>
      </c>
      <c r="G32" s="12">
        <v>3</v>
      </c>
      <c r="H32" s="14">
        <v>425.83339051523501</v>
      </c>
      <c r="I32" s="15">
        <v>28.6053049564361</v>
      </c>
      <c r="J32" s="16" t="s">
        <v>333</v>
      </c>
    </row>
    <row r="33" spans="1:10" hidden="1" x14ac:dyDescent="0.2">
      <c r="A33" s="11" t="s">
        <v>56</v>
      </c>
      <c r="B33" s="12" t="s">
        <v>36</v>
      </c>
      <c r="C33" s="12" t="s">
        <v>70</v>
      </c>
      <c r="D33" s="12">
        <v>15</v>
      </c>
      <c r="E33" s="12">
        <v>4</v>
      </c>
      <c r="F33" s="12">
        <v>2</v>
      </c>
      <c r="G33" s="12">
        <v>4</v>
      </c>
      <c r="H33" s="14">
        <v>413.73207898380798</v>
      </c>
      <c r="I33" s="15">
        <v>0.87804913520812899</v>
      </c>
      <c r="J33" s="16" t="s">
        <v>333</v>
      </c>
    </row>
    <row r="34" spans="1:10" hidden="1" x14ac:dyDescent="0.2">
      <c r="A34" s="11" t="s">
        <v>35</v>
      </c>
      <c r="B34" s="12" t="s">
        <v>36</v>
      </c>
      <c r="C34" s="12" t="s">
        <v>71</v>
      </c>
      <c r="D34" s="12">
        <v>15</v>
      </c>
      <c r="E34" s="12">
        <v>7</v>
      </c>
      <c r="F34" s="12">
        <v>4</v>
      </c>
      <c r="G34" s="12">
        <v>3</v>
      </c>
      <c r="H34" s="14">
        <v>316.90014456721798</v>
      </c>
      <c r="I34" s="15">
        <v>9.6408410072326607</v>
      </c>
      <c r="J34" s="16" t="s">
        <v>333</v>
      </c>
    </row>
    <row r="35" spans="1:10" hidden="1" x14ac:dyDescent="0.2">
      <c r="A35" s="11"/>
      <c r="B35" s="12" t="s">
        <v>36</v>
      </c>
      <c r="C35" s="12" t="s">
        <v>72</v>
      </c>
      <c r="D35" s="12">
        <v>15</v>
      </c>
      <c r="E35" s="12">
        <v>9</v>
      </c>
      <c r="F35" s="12">
        <v>5</v>
      </c>
      <c r="G35" s="12">
        <v>3</v>
      </c>
      <c r="H35" s="14">
        <v>362.03011048975998</v>
      </c>
      <c r="I35" s="15">
        <v>10.432272911071699</v>
      </c>
      <c r="J35" s="16" t="s">
        <v>333</v>
      </c>
    </row>
    <row r="36" spans="1:10" hidden="1" x14ac:dyDescent="0.2">
      <c r="A36" s="11" t="s">
        <v>33</v>
      </c>
      <c r="B36" s="12" t="s">
        <v>36</v>
      </c>
      <c r="C36" s="12" t="s">
        <v>73</v>
      </c>
      <c r="D36" s="12">
        <v>15</v>
      </c>
      <c r="E36" s="12">
        <v>4</v>
      </c>
      <c r="F36" s="12">
        <v>2</v>
      </c>
      <c r="G36" s="12">
        <v>3</v>
      </c>
      <c r="H36" s="14">
        <v>383.974715845079</v>
      </c>
      <c r="I36" s="15">
        <v>0.77114796638488703</v>
      </c>
      <c r="J36" s="16" t="s">
        <v>333</v>
      </c>
    </row>
    <row r="37" spans="1:10" hidden="1" x14ac:dyDescent="0.2">
      <c r="A37" s="11" t="s">
        <v>56</v>
      </c>
      <c r="B37" s="12" t="s">
        <v>36</v>
      </c>
      <c r="C37" s="12" t="s">
        <v>74</v>
      </c>
      <c r="D37" s="12">
        <v>15</v>
      </c>
      <c r="E37" s="12">
        <v>7</v>
      </c>
      <c r="F37" s="12">
        <v>4</v>
      </c>
      <c r="G37" s="12">
        <v>3</v>
      </c>
      <c r="H37" s="14">
        <v>331.17345430660703</v>
      </c>
      <c r="I37" s="15">
        <v>30.920720815658498</v>
      </c>
      <c r="J37" s="16" t="s">
        <v>333</v>
      </c>
    </row>
    <row r="38" spans="1:10" hidden="1" x14ac:dyDescent="0.2">
      <c r="A38" s="11" t="s">
        <v>56</v>
      </c>
      <c r="B38" s="12" t="s">
        <v>36</v>
      </c>
      <c r="C38" s="12" t="s">
        <v>75</v>
      </c>
      <c r="D38" s="12">
        <v>15</v>
      </c>
      <c r="E38" s="12">
        <v>9</v>
      </c>
      <c r="F38" s="12">
        <v>5</v>
      </c>
      <c r="G38" s="12">
        <v>3</v>
      </c>
      <c r="H38" s="14">
        <v>348.113495668486</v>
      </c>
      <c r="I38" s="15">
        <v>8.8836350440979004</v>
      </c>
      <c r="J38" s="16" t="s">
        <v>333</v>
      </c>
    </row>
    <row r="39" spans="1:10" hidden="1" x14ac:dyDescent="0.2">
      <c r="A39" s="11" t="s">
        <v>56</v>
      </c>
      <c r="B39" s="12" t="s">
        <v>36</v>
      </c>
      <c r="C39" s="12" t="s">
        <v>76</v>
      </c>
      <c r="D39" s="12">
        <v>15</v>
      </c>
      <c r="E39" s="12">
        <v>4</v>
      </c>
      <c r="F39" s="12">
        <v>2</v>
      </c>
      <c r="G39" s="12">
        <v>4</v>
      </c>
      <c r="H39" s="14">
        <v>422.87009412877802</v>
      </c>
      <c r="I39" s="15">
        <v>2.7593817710876398</v>
      </c>
      <c r="J39" s="16" t="s">
        <v>333</v>
      </c>
    </row>
    <row r="40" spans="1:10" hidden="1" x14ac:dyDescent="0.2">
      <c r="A40" s="11" t="s">
        <v>33</v>
      </c>
      <c r="B40" s="12" t="s">
        <v>36</v>
      </c>
      <c r="C40" s="12" t="s">
        <v>77</v>
      </c>
      <c r="D40" s="12">
        <v>15</v>
      </c>
      <c r="E40" s="12">
        <v>7</v>
      </c>
      <c r="F40" s="12">
        <v>4</v>
      </c>
      <c r="G40" s="12">
        <v>3</v>
      </c>
      <c r="H40" s="14">
        <v>363.85369617237802</v>
      </c>
      <c r="I40" s="15">
        <v>9.4770641326904297</v>
      </c>
      <c r="J40" s="16" t="s">
        <v>333</v>
      </c>
    </row>
    <row r="41" spans="1:10" hidden="1" x14ac:dyDescent="0.2">
      <c r="A41" s="11" t="s">
        <v>56</v>
      </c>
      <c r="B41" s="12" t="s">
        <v>36</v>
      </c>
      <c r="C41" s="12" t="s">
        <v>78</v>
      </c>
      <c r="D41" s="12">
        <v>15</v>
      </c>
      <c r="E41" s="12">
        <v>9</v>
      </c>
      <c r="F41" s="12">
        <v>5</v>
      </c>
      <c r="G41" s="12">
        <v>3</v>
      </c>
      <c r="H41" s="14">
        <v>438.79240966109899</v>
      </c>
      <c r="I41" s="15">
        <v>190.84135699272099</v>
      </c>
      <c r="J41" s="16" t="s">
        <v>333</v>
      </c>
    </row>
    <row r="42" spans="1:10" hidden="1" x14ac:dyDescent="0.2">
      <c r="A42" s="11" t="s">
        <v>56</v>
      </c>
      <c r="B42" s="12" t="s">
        <v>36</v>
      </c>
      <c r="C42" s="12" t="s">
        <v>79</v>
      </c>
      <c r="D42" s="12">
        <v>15</v>
      </c>
      <c r="E42" s="12">
        <v>4</v>
      </c>
      <c r="F42" s="12">
        <v>2</v>
      </c>
      <c r="G42" s="12">
        <v>4</v>
      </c>
      <c r="H42" s="14">
        <v>344.907195589867</v>
      </c>
      <c r="I42" s="15">
        <v>6.2098290920257497</v>
      </c>
      <c r="J42" s="16" t="s">
        <v>333</v>
      </c>
    </row>
    <row r="43" spans="1:10" hidden="1" x14ac:dyDescent="0.2">
      <c r="A43" s="11" t="s">
        <v>33</v>
      </c>
      <c r="B43" s="12" t="s">
        <v>36</v>
      </c>
      <c r="C43" s="12" t="s">
        <v>80</v>
      </c>
      <c r="D43" s="12">
        <v>15</v>
      </c>
      <c r="E43" s="12">
        <v>7</v>
      </c>
      <c r="F43" s="12">
        <v>4</v>
      </c>
      <c r="G43" s="12">
        <v>3</v>
      </c>
      <c r="H43" s="14">
        <v>344.43035120638399</v>
      </c>
      <c r="I43" s="15">
        <v>9.6908149719238192</v>
      </c>
      <c r="J43" s="16" t="s">
        <v>333</v>
      </c>
    </row>
    <row r="44" spans="1:10" hidden="1" x14ac:dyDescent="0.2">
      <c r="A44" s="11" t="s">
        <v>56</v>
      </c>
      <c r="B44" s="12" t="s">
        <v>36</v>
      </c>
      <c r="C44" s="12" t="s">
        <v>81</v>
      </c>
      <c r="D44" s="12">
        <v>15</v>
      </c>
      <c r="E44" s="12">
        <v>9</v>
      </c>
      <c r="F44" s="12">
        <v>5</v>
      </c>
      <c r="G44" s="12">
        <v>3</v>
      </c>
      <c r="H44" s="14">
        <v>406.37621964697797</v>
      </c>
      <c r="I44" s="15">
        <v>35.305449008941601</v>
      </c>
      <c r="J44" s="16" t="s">
        <v>333</v>
      </c>
    </row>
    <row r="45" spans="1:10" hidden="1" x14ac:dyDescent="0.2">
      <c r="A45" s="11" t="s">
        <v>56</v>
      </c>
      <c r="B45" s="12" t="s">
        <v>36</v>
      </c>
      <c r="C45" s="12" t="s">
        <v>82</v>
      </c>
      <c r="D45" s="12">
        <v>15</v>
      </c>
      <c r="E45" s="12">
        <v>4</v>
      </c>
      <c r="F45" s="12">
        <v>2</v>
      </c>
      <c r="G45" s="12">
        <v>4</v>
      </c>
      <c r="H45" s="14">
        <v>404.62637067668601</v>
      </c>
      <c r="I45" s="15">
        <v>7.0735611915588299</v>
      </c>
      <c r="J45" s="16" t="s">
        <v>333</v>
      </c>
    </row>
    <row r="46" spans="1:10" hidden="1" x14ac:dyDescent="0.2">
      <c r="A46" s="11" t="s">
        <v>33</v>
      </c>
      <c r="B46" s="12" t="s">
        <v>36</v>
      </c>
      <c r="C46" s="12" t="s">
        <v>83</v>
      </c>
      <c r="D46" s="12">
        <v>15</v>
      </c>
      <c r="E46" s="12">
        <v>7</v>
      </c>
      <c r="F46" s="12">
        <v>4</v>
      </c>
      <c r="G46" s="12">
        <v>3</v>
      </c>
      <c r="H46" s="14">
        <v>306.37536544451001</v>
      </c>
      <c r="I46" s="15">
        <v>13.708781003952</v>
      </c>
      <c r="J46" s="16" t="s">
        <v>333</v>
      </c>
    </row>
    <row r="47" spans="1:10" hidden="1" x14ac:dyDescent="0.2">
      <c r="A47" s="11" t="s">
        <v>56</v>
      </c>
      <c r="B47" s="12" t="s">
        <v>36</v>
      </c>
      <c r="C47" s="12" t="s">
        <v>84</v>
      </c>
      <c r="D47" s="12">
        <v>15</v>
      </c>
      <c r="E47" s="12">
        <v>9</v>
      </c>
      <c r="F47" s="12">
        <v>5</v>
      </c>
      <c r="G47" s="12">
        <v>3</v>
      </c>
      <c r="H47" s="14">
        <v>417.95489515321998</v>
      </c>
      <c r="I47" s="15">
        <v>106.01587820053101</v>
      </c>
      <c r="J47" s="16" t="s">
        <v>333</v>
      </c>
    </row>
    <row r="48" spans="1:10" hidden="1" x14ac:dyDescent="0.2">
      <c r="A48" s="11" t="s">
        <v>55</v>
      </c>
      <c r="B48" s="12" t="s">
        <v>36</v>
      </c>
      <c r="C48" s="12" t="s">
        <v>85</v>
      </c>
      <c r="D48" s="12">
        <v>15</v>
      </c>
      <c r="E48" s="12">
        <v>4</v>
      </c>
      <c r="F48" s="12">
        <v>2</v>
      </c>
      <c r="G48" s="12">
        <v>4</v>
      </c>
      <c r="H48" s="14">
        <v>414.79805324134702</v>
      </c>
      <c r="I48" s="15">
        <v>6.1076819896697998</v>
      </c>
      <c r="J48" s="16" t="s">
        <v>333</v>
      </c>
    </row>
    <row r="49" spans="1:10" hidden="1" x14ac:dyDescent="0.2">
      <c r="A49" s="11" t="s">
        <v>56</v>
      </c>
      <c r="B49" s="12" t="s">
        <v>36</v>
      </c>
      <c r="C49" s="12" t="s">
        <v>86</v>
      </c>
      <c r="D49" s="12">
        <v>15</v>
      </c>
      <c r="E49" s="12">
        <v>7</v>
      </c>
      <c r="F49" s="12">
        <v>4</v>
      </c>
      <c r="G49" s="12">
        <v>3</v>
      </c>
      <c r="H49" s="14">
        <v>318.84458180724403</v>
      </c>
      <c r="I49" s="15">
        <v>12.0240061283111</v>
      </c>
      <c r="J49" s="16" t="s">
        <v>333</v>
      </c>
    </row>
    <row r="50" spans="1:10" hidden="1" x14ac:dyDescent="0.2">
      <c r="A50" s="11" t="s">
        <v>35</v>
      </c>
      <c r="B50" s="12" t="s">
        <v>36</v>
      </c>
      <c r="C50" s="12" t="s">
        <v>87</v>
      </c>
      <c r="D50" s="12">
        <v>15</v>
      </c>
      <c r="E50" s="12">
        <v>9</v>
      </c>
      <c r="F50" s="12">
        <v>5</v>
      </c>
      <c r="G50" s="12">
        <v>3</v>
      </c>
      <c r="H50" s="14">
        <v>362.090963027469</v>
      </c>
      <c r="I50" s="15">
        <v>27.321942090988099</v>
      </c>
      <c r="J50" s="16" t="s">
        <v>333</v>
      </c>
    </row>
    <row r="51" spans="1:10" hidden="1" x14ac:dyDescent="0.2">
      <c r="A51" s="11" t="s">
        <v>56</v>
      </c>
      <c r="B51" s="12" t="s">
        <v>36</v>
      </c>
      <c r="C51" s="12" t="s">
        <v>88</v>
      </c>
      <c r="D51" s="12">
        <v>15</v>
      </c>
      <c r="E51" s="12">
        <v>4</v>
      </c>
      <c r="F51" s="12">
        <v>2</v>
      </c>
      <c r="G51" s="12">
        <v>3</v>
      </c>
      <c r="H51" s="14">
        <v>362.17880575783101</v>
      </c>
      <c r="I51" s="15">
        <v>5.6295039653777996</v>
      </c>
      <c r="J51" s="16" t="s">
        <v>333</v>
      </c>
    </row>
    <row r="52" spans="1:10" hidden="1" x14ac:dyDescent="0.2">
      <c r="A52" s="11" t="s">
        <v>56</v>
      </c>
      <c r="B52" s="12" t="s">
        <v>36</v>
      </c>
      <c r="C52" s="12" t="s">
        <v>89</v>
      </c>
      <c r="D52" s="12">
        <v>15</v>
      </c>
      <c r="E52" s="12">
        <v>7</v>
      </c>
      <c r="F52" s="12">
        <v>4</v>
      </c>
      <c r="G52" s="12">
        <v>3</v>
      </c>
      <c r="H52" s="14">
        <v>328.35823822856503</v>
      </c>
      <c r="I52" s="15">
        <v>13.8142778873443</v>
      </c>
      <c r="J52" s="16" t="s">
        <v>333</v>
      </c>
    </row>
    <row r="53" spans="1:10" hidden="1" x14ac:dyDescent="0.2">
      <c r="A53" s="11" t="s">
        <v>56</v>
      </c>
      <c r="B53" s="12" t="s">
        <v>36</v>
      </c>
      <c r="C53" s="12" t="s">
        <v>90</v>
      </c>
      <c r="D53" s="12">
        <v>15</v>
      </c>
      <c r="E53" s="12">
        <v>9</v>
      </c>
      <c r="F53" s="12">
        <v>5</v>
      </c>
      <c r="G53" s="12">
        <v>3</v>
      </c>
      <c r="H53" s="14">
        <v>359.79859533424201</v>
      </c>
      <c r="I53" s="15">
        <v>31.3037090301513</v>
      </c>
      <c r="J53" s="16" t="s">
        <v>333</v>
      </c>
    </row>
    <row r="54" spans="1:10" hidden="1" x14ac:dyDescent="0.2">
      <c r="A54" s="11" t="s">
        <v>56</v>
      </c>
      <c r="B54" s="12" t="s">
        <v>36</v>
      </c>
      <c r="C54" s="12" t="s">
        <v>91</v>
      </c>
      <c r="D54" s="12">
        <v>15</v>
      </c>
      <c r="E54" s="12">
        <v>4</v>
      </c>
      <c r="F54" s="12">
        <v>2</v>
      </c>
      <c r="G54" s="12">
        <v>4</v>
      </c>
      <c r="H54" s="14">
        <v>432.43329039236801</v>
      </c>
      <c r="I54" s="15">
        <v>1.1980400085449201</v>
      </c>
      <c r="J54" s="16" t="s">
        <v>333</v>
      </c>
    </row>
    <row r="55" spans="1:10" hidden="1" x14ac:dyDescent="0.2">
      <c r="A55" s="11" t="s">
        <v>56</v>
      </c>
      <c r="B55" s="12" t="s">
        <v>36</v>
      </c>
      <c r="C55" s="12" t="s">
        <v>92</v>
      </c>
      <c r="D55" s="12">
        <v>15</v>
      </c>
      <c r="E55" s="12">
        <v>7</v>
      </c>
      <c r="F55" s="12">
        <v>4</v>
      </c>
      <c r="G55" s="12">
        <v>3</v>
      </c>
      <c r="H55" s="14">
        <v>404.77297938692698</v>
      </c>
      <c r="I55" s="15">
        <v>6.2068240642547599</v>
      </c>
      <c r="J55" s="16" t="s">
        <v>333</v>
      </c>
    </row>
    <row r="56" spans="1:10" hidden="1" x14ac:dyDescent="0.2">
      <c r="A56" s="11"/>
      <c r="B56" s="12" t="s">
        <v>36</v>
      </c>
      <c r="C56" s="12" t="s">
        <v>93</v>
      </c>
      <c r="D56" s="12">
        <v>15</v>
      </c>
      <c r="E56" s="12">
        <v>9</v>
      </c>
      <c r="F56" s="12">
        <v>5</v>
      </c>
      <c r="G56" s="12">
        <v>3</v>
      </c>
      <c r="H56" s="14">
        <v>426.94726866361498</v>
      </c>
      <c r="I56" s="15">
        <v>42.280488967895501</v>
      </c>
      <c r="J56" s="16" t="s">
        <v>333</v>
      </c>
    </row>
    <row r="57" spans="1:10" hidden="1" x14ac:dyDescent="0.2">
      <c r="A57" s="11" t="s">
        <v>56</v>
      </c>
      <c r="B57" s="12" t="s">
        <v>36</v>
      </c>
      <c r="C57" s="12" t="s">
        <v>94</v>
      </c>
      <c r="D57" s="12">
        <v>15</v>
      </c>
      <c r="E57" s="12">
        <v>4</v>
      </c>
      <c r="F57" s="12">
        <v>2</v>
      </c>
      <c r="G57" s="12">
        <v>3</v>
      </c>
      <c r="H57" s="14">
        <v>346.11204055330097</v>
      </c>
      <c r="I57" s="15">
        <v>3.07204818725585</v>
      </c>
      <c r="J57" s="16" t="s">
        <v>333</v>
      </c>
    </row>
    <row r="58" spans="1:10" hidden="1" x14ac:dyDescent="0.2">
      <c r="A58" s="11" t="s">
        <v>56</v>
      </c>
      <c r="B58" s="12" t="s">
        <v>36</v>
      </c>
      <c r="C58" s="12" t="s">
        <v>95</v>
      </c>
      <c r="D58" s="12">
        <v>15</v>
      </c>
      <c r="E58" s="12">
        <v>7</v>
      </c>
      <c r="F58" s="12">
        <v>4</v>
      </c>
      <c r="G58" s="12">
        <v>3</v>
      </c>
      <c r="H58" s="14">
        <v>347.89890304146297</v>
      </c>
      <c r="I58" s="15">
        <v>1.7937700748443599</v>
      </c>
      <c r="J58" s="16" t="s">
        <v>333</v>
      </c>
    </row>
    <row r="59" spans="1:10" hidden="1" x14ac:dyDescent="0.2">
      <c r="A59" s="11" t="s">
        <v>56</v>
      </c>
      <c r="B59" s="12" t="s">
        <v>36</v>
      </c>
      <c r="C59" s="12" t="s">
        <v>96</v>
      </c>
      <c r="D59" s="12">
        <v>15</v>
      </c>
      <c r="E59" s="12">
        <v>9</v>
      </c>
      <c r="F59" s="12">
        <v>5</v>
      </c>
      <c r="G59" s="12">
        <v>3</v>
      </c>
      <c r="H59" s="14">
        <v>409.85191654430702</v>
      </c>
      <c r="I59" s="15">
        <v>17.888032913208001</v>
      </c>
      <c r="J59" s="16" t="s">
        <v>333</v>
      </c>
    </row>
    <row r="60" spans="1:10" hidden="1" x14ac:dyDescent="0.2">
      <c r="A60" s="11" t="s">
        <v>56</v>
      </c>
      <c r="B60" s="12" t="s">
        <v>36</v>
      </c>
      <c r="C60" s="12" t="s">
        <v>97</v>
      </c>
      <c r="D60" s="12">
        <v>15</v>
      </c>
      <c r="E60" s="12">
        <v>4</v>
      </c>
      <c r="F60" s="12">
        <v>2</v>
      </c>
      <c r="G60" s="12">
        <v>3</v>
      </c>
      <c r="H60" s="14">
        <v>409.58401854260802</v>
      </c>
      <c r="I60" s="15">
        <v>0.48563480377197199</v>
      </c>
      <c r="J60" s="16" t="s">
        <v>333</v>
      </c>
    </row>
    <row r="61" spans="1:10" hidden="1" x14ac:dyDescent="0.2">
      <c r="A61" s="11" t="s">
        <v>56</v>
      </c>
      <c r="B61" s="12" t="s">
        <v>36</v>
      </c>
      <c r="C61" s="12" t="s">
        <v>98</v>
      </c>
      <c r="D61" s="12">
        <v>15</v>
      </c>
      <c r="E61" s="12">
        <v>7</v>
      </c>
      <c r="F61" s="12">
        <v>4</v>
      </c>
      <c r="G61" s="12">
        <v>3</v>
      </c>
      <c r="H61" s="14">
        <v>306.93271265014499</v>
      </c>
      <c r="I61" s="15">
        <v>7.3064639568328804</v>
      </c>
      <c r="J61" s="16" t="s">
        <v>333</v>
      </c>
    </row>
    <row r="62" spans="1:10" hidden="1" x14ac:dyDescent="0.2">
      <c r="A62" s="11" t="s">
        <v>56</v>
      </c>
      <c r="B62" s="12" t="s">
        <v>36</v>
      </c>
      <c r="C62" s="12" t="s">
        <v>99</v>
      </c>
      <c r="D62" s="12">
        <v>15</v>
      </c>
      <c r="E62" s="12">
        <v>9</v>
      </c>
      <c r="F62" s="12">
        <v>5</v>
      </c>
      <c r="G62" s="12">
        <v>3</v>
      </c>
      <c r="H62" s="14">
        <v>421.83386504963801</v>
      </c>
      <c r="I62" s="15">
        <v>22.804675102233801</v>
      </c>
      <c r="J62" s="16" t="s">
        <v>333</v>
      </c>
    </row>
    <row r="63" spans="1:10" hidden="1" x14ac:dyDescent="0.2">
      <c r="A63" s="11" t="s">
        <v>55</v>
      </c>
      <c r="B63" s="12" t="s">
        <v>36</v>
      </c>
      <c r="C63" s="12" t="s">
        <v>100</v>
      </c>
      <c r="D63" s="12">
        <v>15</v>
      </c>
      <c r="E63" s="12">
        <v>4</v>
      </c>
      <c r="F63" s="12">
        <v>2</v>
      </c>
      <c r="G63" s="12">
        <v>4</v>
      </c>
      <c r="H63" s="14">
        <v>425.73855344873499</v>
      </c>
      <c r="I63" s="15">
        <v>2.1413979530334402</v>
      </c>
      <c r="J63" s="16" t="s">
        <v>333</v>
      </c>
    </row>
    <row r="64" spans="1:10" hidden="1" x14ac:dyDescent="0.2">
      <c r="A64" s="11" t="s">
        <v>56</v>
      </c>
      <c r="B64" s="12" t="s">
        <v>36</v>
      </c>
      <c r="C64" s="12" t="s">
        <v>101</v>
      </c>
      <c r="D64" s="12">
        <v>15</v>
      </c>
      <c r="E64" s="12">
        <v>7</v>
      </c>
      <c r="F64" s="12">
        <v>4</v>
      </c>
      <c r="G64" s="12">
        <v>3</v>
      </c>
      <c r="H64" s="14">
        <v>326.22392328121299</v>
      </c>
      <c r="I64" s="15">
        <v>6.4159939289093</v>
      </c>
      <c r="J64" s="16" t="s">
        <v>333</v>
      </c>
    </row>
    <row r="65" spans="1:12" hidden="1" x14ac:dyDescent="0.2">
      <c r="A65" s="11" t="s">
        <v>55</v>
      </c>
      <c r="B65" s="12" t="s">
        <v>36</v>
      </c>
      <c r="C65" s="12" t="s">
        <v>102</v>
      </c>
      <c r="D65" s="12">
        <v>15</v>
      </c>
      <c r="E65" s="12">
        <v>9</v>
      </c>
      <c r="F65" s="12">
        <v>5</v>
      </c>
      <c r="G65" s="12">
        <v>3</v>
      </c>
      <c r="H65" s="14">
        <v>359.16648182251703</v>
      </c>
      <c r="I65" s="15">
        <v>9.4434361457824707</v>
      </c>
      <c r="J65" s="16" t="s">
        <v>333</v>
      </c>
    </row>
    <row r="66" spans="1:12" hidden="1" x14ac:dyDescent="0.2">
      <c r="A66" s="11" t="s">
        <v>55</v>
      </c>
      <c r="B66" s="12" t="s">
        <v>36</v>
      </c>
      <c r="C66" s="12" t="s">
        <v>103</v>
      </c>
      <c r="D66" s="12">
        <v>15</v>
      </c>
      <c r="E66" s="12">
        <v>4</v>
      </c>
      <c r="F66" s="12">
        <v>2</v>
      </c>
      <c r="G66" s="12">
        <v>4</v>
      </c>
      <c r="H66" s="14">
        <v>384.574165310654</v>
      </c>
      <c r="I66" s="15">
        <v>0.46854805946350098</v>
      </c>
      <c r="J66" s="16" t="s">
        <v>333</v>
      </c>
    </row>
    <row r="67" spans="1:12" hidden="1" x14ac:dyDescent="0.2">
      <c r="A67" s="11" t="s">
        <v>56</v>
      </c>
      <c r="B67" s="12" t="s">
        <v>36</v>
      </c>
      <c r="C67" s="12" t="s">
        <v>104</v>
      </c>
      <c r="D67" s="12">
        <v>15</v>
      </c>
      <c r="E67" s="12">
        <v>7</v>
      </c>
      <c r="F67" s="12">
        <v>4</v>
      </c>
      <c r="G67" s="12">
        <v>3</v>
      </c>
      <c r="H67" s="14">
        <v>331.75037711574998</v>
      </c>
      <c r="I67" s="15">
        <v>7.5384478570000004</v>
      </c>
      <c r="J67" s="16" t="s">
        <v>333</v>
      </c>
    </row>
    <row r="68" spans="1:12" hidden="1" x14ac:dyDescent="0.2">
      <c r="A68" s="11" t="s">
        <v>55</v>
      </c>
      <c r="B68" s="12" t="s">
        <v>36</v>
      </c>
      <c r="C68" s="12" t="s">
        <v>105</v>
      </c>
      <c r="D68" s="12">
        <v>20</v>
      </c>
      <c r="E68" s="12">
        <v>4</v>
      </c>
      <c r="F68" s="12">
        <v>2</v>
      </c>
      <c r="G68" s="12">
        <v>5</v>
      </c>
      <c r="H68" s="14">
        <v>460.40102121365601</v>
      </c>
      <c r="I68" s="15">
        <v>5.3671500682830802</v>
      </c>
      <c r="J68" s="16" t="s">
        <v>333</v>
      </c>
    </row>
    <row r="69" spans="1:12" hidden="1" x14ac:dyDescent="0.2">
      <c r="A69" s="11"/>
      <c r="B69" s="12" t="s">
        <v>36</v>
      </c>
      <c r="C69" s="12" t="s">
        <v>106</v>
      </c>
      <c r="D69" s="12">
        <v>20</v>
      </c>
      <c r="E69" s="12">
        <v>4</v>
      </c>
      <c r="F69" s="12">
        <v>2</v>
      </c>
      <c r="G69" s="12">
        <v>5</v>
      </c>
      <c r="H69" s="14">
        <v>432.62012482292499</v>
      </c>
      <c r="I69" s="15">
        <v>6.9090399742126403</v>
      </c>
      <c r="J69" s="16" t="s">
        <v>333</v>
      </c>
      <c r="K69" s="17"/>
      <c r="L69" s="17"/>
    </row>
    <row r="70" spans="1:12" hidden="1" x14ac:dyDescent="0.2">
      <c r="A70" s="11" t="s">
        <v>35</v>
      </c>
      <c r="B70" s="12" t="s">
        <v>36</v>
      </c>
      <c r="C70" s="12" t="s">
        <v>107</v>
      </c>
      <c r="D70" s="12">
        <v>20</v>
      </c>
      <c r="E70" s="12">
        <v>4</v>
      </c>
      <c r="F70" s="12">
        <v>2</v>
      </c>
      <c r="G70" s="12">
        <v>5</v>
      </c>
      <c r="H70" s="14">
        <v>488.12489352275901</v>
      </c>
      <c r="I70" s="15">
        <v>6.6482548713684002</v>
      </c>
      <c r="J70" s="16" t="s">
        <v>333</v>
      </c>
      <c r="K70" s="17"/>
      <c r="L70" s="17"/>
    </row>
    <row r="71" spans="1:12" hidden="1" x14ac:dyDescent="0.2">
      <c r="A71" s="11" t="s">
        <v>37</v>
      </c>
      <c r="B71" s="12" t="s">
        <v>36</v>
      </c>
      <c r="C71" s="12" t="s">
        <v>108</v>
      </c>
      <c r="D71" s="12">
        <v>20</v>
      </c>
      <c r="E71" s="12">
        <v>4</v>
      </c>
      <c r="F71" s="12">
        <v>2</v>
      </c>
      <c r="G71" s="12">
        <v>4</v>
      </c>
      <c r="H71" s="14">
        <v>503.85466725470798</v>
      </c>
      <c r="I71" s="15">
        <v>2.5937368869781401</v>
      </c>
      <c r="J71" s="16" t="s">
        <v>333</v>
      </c>
      <c r="K71" s="17"/>
      <c r="L71" s="17"/>
    </row>
    <row r="72" spans="1:12" hidden="1" x14ac:dyDescent="0.2">
      <c r="A72" s="11" t="s">
        <v>35</v>
      </c>
      <c r="B72" s="12" t="s">
        <v>36</v>
      </c>
      <c r="C72" s="12" t="s">
        <v>109</v>
      </c>
      <c r="D72" s="12">
        <v>20</v>
      </c>
      <c r="E72" s="12">
        <v>4</v>
      </c>
      <c r="F72" s="12">
        <v>2</v>
      </c>
      <c r="G72" s="12">
        <v>5</v>
      </c>
      <c r="H72" s="14">
        <v>498.34657399158499</v>
      </c>
      <c r="I72" s="15">
        <v>5.9348719120025599</v>
      </c>
      <c r="J72" s="16" t="s">
        <v>333</v>
      </c>
      <c r="K72" s="17"/>
      <c r="L72" s="17"/>
    </row>
    <row r="73" spans="1:12" hidden="1" x14ac:dyDescent="0.2">
      <c r="A73" s="11" t="s">
        <v>35</v>
      </c>
      <c r="B73" s="12" t="s">
        <v>36</v>
      </c>
      <c r="C73" s="12" t="s">
        <v>110</v>
      </c>
      <c r="D73" s="12">
        <v>20</v>
      </c>
      <c r="E73" s="12">
        <v>4</v>
      </c>
      <c r="F73" s="12">
        <v>2</v>
      </c>
      <c r="G73" s="12">
        <v>5</v>
      </c>
      <c r="H73" s="14">
        <v>447.895801010284</v>
      </c>
      <c r="I73" s="15">
        <v>5.9875741004943803</v>
      </c>
      <c r="J73" s="16" t="s">
        <v>333</v>
      </c>
      <c r="K73" s="17"/>
      <c r="L73" s="17"/>
    </row>
    <row r="74" spans="1:12" hidden="1" x14ac:dyDescent="0.2">
      <c r="A74" s="11" t="s">
        <v>35</v>
      </c>
      <c r="B74" s="12" t="s">
        <v>36</v>
      </c>
      <c r="C74" s="12" t="s">
        <v>111</v>
      </c>
      <c r="D74" s="12">
        <v>20</v>
      </c>
      <c r="E74" s="12">
        <v>4</v>
      </c>
      <c r="F74" s="12">
        <v>2</v>
      </c>
      <c r="G74" s="12">
        <v>5</v>
      </c>
      <c r="H74" s="14">
        <v>481.69192412212698</v>
      </c>
      <c r="I74" s="15">
        <v>22.771147966384799</v>
      </c>
      <c r="J74" s="16" t="s">
        <v>333</v>
      </c>
      <c r="K74" s="17"/>
      <c r="L74" s="17"/>
    </row>
    <row r="75" spans="1:12" hidden="1" x14ac:dyDescent="0.2">
      <c r="A75" s="11" t="s">
        <v>35</v>
      </c>
      <c r="B75" s="12" t="s">
        <v>36</v>
      </c>
      <c r="C75" s="12" t="s">
        <v>112</v>
      </c>
      <c r="D75" s="12">
        <v>20</v>
      </c>
      <c r="E75" s="12">
        <v>4</v>
      </c>
      <c r="F75" s="12">
        <v>2</v>
      </c>
      <c r="G75" s="12">
        <v>5</v>
      </c>
      <c r="H75" s="14">
        <v>491.14512167084899</v>
      </c>
      <c r="I75" s="15">
        <v>11.899485826492301</v>
      </c>
      <c r="J75" s="16" t="s">
        <v>333</v>
      </c>
      <c r="K75" s="17"/>
      <c r="L75" s="17"/>
    </row>
    <row r="76" spans="1:12" hidden="1" x14ac:dyDescent="0.2">
      <c r="A76" s="11" t="s">
        <v>35</v>
      </c>
      <c r="B76" s="12" t="s">
        <v>36</v>
      </c>
      <c r="C76" s="12" t="s">
        <v>113</v>
      </c>
      <c r="D76" s="12">
        <v>20</v>
      </c>
      <c r="E76" s="12">
        <v>4</v>
      </c>
      <c r="F76" s="12">
        <v>2</v>
      </c>
      <c r="G76" s="12">
        <v>5</v>
      </c>
      <c r="H76" s="14">
        <v>519.49433790026296</v>
      </c>
      <c r="I76" s="15">
        <v>17.2160129547119</v>
      </c>
      <c r="J76" s="16" t="s">
        <v>333</v>
      </c>
      <c r="K76" s="17"/>
      <c r="L76" s="17"/>
    </row>
    <row r="77" spans="1:12" hidden="1" x14ac:dyDescent="0.2">
      <c r="A77" s="11" t="s">
        <v>37</v>
      </c>
      <c r="B77" s="12" t="s">
        <v>36</v>
      </c>
      <c r="C77" s="12" t="s">
        <v>114</v>
      </c>
      <c r="D77" s="12">
        <v>20</v>
      </c>
      <c r="E77" s="12">
        <v>4</v>
      </c>
      <c r="F77" s="12">
        <v>2</v>
      </c>
      <c r="G77" s="12">
        <v>6</v>
      </c>
      <c r="H77" s="14">
        <v>528.14725754903895</v>
      </c>
      <c r="I77" s="15">
        <v>10.096811056137</v>
      </c>
      <c r="J77" s="16" t="s">
        <v>333</v>
      </c>
      <c r="K77" s="17"/>
      <c r="L77" s="17"/>
    </row>
    <row r="78" spans="1:12" hidden="1" x14ac:dyDescent="0.2">
      <c r="A78" s="11" t="s">
        <v>35</v>
      </c>
      <c r="B78" s="12" t="s">
        <v>36</v>
      </c>
      <c r="C78" s="12" t="s">
        <v>115</v>
      </c>
      <c r="D78" s="12">
        <v>20</v>
      </c>
      <c r="E78" s="12">
        <v>4</v>
      </c>
      <c r="F78" s="12">
        <v>2</v>
      </c>
      <c r="G78" s="12">
        <v>5</v>
      </c>
      <c r="H78" s="14">
        <v>437.49402617328701</v>
      </c>
      <c r="I78" s="15">
        <v>15.686959028244001</v>
      </c>
      <c r="J78" s="16" t="s">
        <v>333</v>
      </c>
      <c r="K78" s="17"/>
      <c r="L78" s="17"/>
    </row>
    <row r="79" spans="1:12" hidden="1" x14ac:dyDescent="0.2">
      <c r="A79" s="11" t="s">
        <v>55</v>
      </c>
      <c r="B79" s="12" t="s">
        <v>36</v>
      </c>
      <c r="C79" s="12" t="s">
        <v>117</v>
      </c>
      <c r="D79" s="12">
        <v>20</v>
      </c>
      <c r="E79" s="12">
        <v>4</v>
      </c>
      <c r="F79" s="12">
        <v>2</v>
      </c>
      <c r="G79" s="12">
        <v>5</v>
      </c>
      <c r="H79" s="14">
        <v>459.664181679232</v>
      </c>
      <c r="I79" s="15">
        <v>138.05880713462801</v>
      </c>
      <c r="J79" s="16" t="s">
        <v>333</v>
      </c>
      <c r="K79" s="17"/>
      <c r="L79" s="17"/>
    </row>
    <row r="80" spans="1:12" hidden="1" x14ac:dyDescent="0.2">
      <c r="A80" s="11" t="s">
        <v>35</v>
      </c>
      <c r="B80" s="12" t="s">
        <v>36</v>
      </c>
      <c r="C80" s="12" t="s">
        <v>118</v>
      </c>
      <c r="D80" s="12">
        <v>20</v>
      </c>
      <c r="E80" s="12">
        <v>4</v>
      </c>
      <c r="F80" s="12">
        <v>2</v>
      </c>
      <c r="G80" s="12">
        <v>5</v>
      </c>
      <c r="H80" s="14">
        <v>477.82494525828298</v>
      </c>
      <c r="I80" s="15">
        <v>18.1027829647064</v>
      </c>
      <c r="J80" s="16" t="s">
        <v>333</v>
      </c>
      <c r="K80" s="17"/>
      <c r="L80" s="17"/>
    </row>
    <row r="81" spans="1:12" hidden="1" x14ac:dyDescent="0.2">
      <c r="A81" s="11" t="s">
        <v>55</v>
      </c>
      <c r="B81" s="12" t="s">
        <v>36</v>
      </c>
      <c r="C81" s="12" t="s">
        <v>119</v>
      </c>
      <c r="D81" s="12">
        <v>20</v>
      </c>
      <c r="E81" s="12">
        <v>4</v>
      </c>
      <c r="F81" s="12">
        <v>2</v>
      </c>
      <c r="G81" s="12">
        <v>5</v>
      </c>
      <c r="H81" s="14">
        <v>510.70258009886197</v>
      </c>
      <c r="I81" s="15">
        <v>11.2912850379943</v>
      </c>
      <c r="J81" s="16" t="s">
        <v>333</v>
      </c>
      <c r="K81" s="17"/>
      <c r="L81" s="17"/>
    </row>
    <row r="82" spans="1:12" hidden="1" x14ac:dyDescent="0.2">
      <c r="A82" s="11" t="s">
        <v>55</v>
      </c>
      <c r="B82" s="12" t="s">
        <v>36</v>
      </c>
      <c r="C82" s="12" t="s">
        <v>120</v>
      </c>
      <c r="D82" s="12">
        <v>20</v>
      </c>
      <c r="E82" s="12">
        <v>4</v>
      </c>
      <c r="F82" s="12">
        <v>2</v>
      </c>
      <c r="G82" s="12">
        <v>5</v>
      </c>
      <c r="H82" s="14">
        <v>458.66628567007803</v>
      </c>
      <c r="I82" s="15">
        <v>9.6712629795074392</v>
      </c>
      <c r="J82" s="16" t="s">
        <v>333</v>
      </c>
      <c r="K82" s="17"/>
      <c r="L82" s="17"/>
    </row>
    <row r="83" spans="1:12" hidden="1" x14ac:dyDescent="0.2">
      <c r="A83" s="11"/>
      <c r="B83" s="12" t="s">
        <v>36</v>
      </c>
      <c r="C83" s="12" t="s">
        <v>121</v>
      </c>
      <c r="D83" s="12">
        <v>20</v>
      </c>
      <c r="E83" s="12">
        <v>4</v>
      </c>
      <c r="F83" s="12">
        <v>2</v>
      </c>
      <c r="G83" s="12">
        <v>5</v>
      </c>
      <c r="H83" s="14">
        <v>448.79993161339701</v>
      </c>
      <c r="I83" s="15">
        <v>3.97641396522521</v>
      </c>
      <c r="J83" s="16" t="s">
        <v>333</v>
      </c>
      <c r="K83" s="17"/>
      <c r="L83" s="17"/>
    </row>
    <row r="84" spans="1:12" hidden="1" x14ac:dyDescent="0.2">
      <c r="A84" s="11" t="s">
        <v>55</v>
      </c>
      <c r="B84" s="12" t="s">
        <v>36</v>
      </c>
      <c r="C84" s="12" t="s">
        <v>122</v>
      </c>
      <c r="D84" s="12">
        <v>20</v>
      </c>
      <c r="E84" s="12">
        <v>4</v>
      </c>
      <c r="F84" s="12">
        <v>2</v>
      </c>
      <c r="G84" s="12">
        <v>5</v>
      </c>
      <c r="H84" s="14">
        <v>462.93316146428998</v>
      </c>
      <c r="I84" s="15">
        <v>14.0534369945526</v>
      </c>
      <c r="J84" s="16" t="s">
        <v>333</v>
      </c>
      <c r="K84" s="17"/>
      <c r="L84" s="17"/>
    </row>
    <row r="85" spans="1:12" hidden="1" x14ac:dyDescent="0.2">
      <c r="A85" s="11" t="s">
        <v>55</v>
      </c>
      <c r="B85" s="12" t="s">
        <v>36</v>
      </c>
      <c r="C85" s="12" t="s">
        <v>123</v>
      </c>
      <c r="D85" s="12">
        <v>20</v>
      </c>
      <c r="E85" s="12">
        <v>4</v>
      </c>
      <c r="F85" s="12">
        <v>2</v>
      </c>
      <c r="G85" s="12">
        <v>5</v>
      </c>
      <c r="H85" s="14">
        <v>484.69557365092498</v>
      </c>
      <c r="I85" s="15">
        <v>6.0165560245513898</v>
      </c>
      <c r="J85" s="16"/>
      <c r="K85" s="17"/>
      <c r="L85" s="17"/>
    </row>
    <row r="86" spans="1:12" hidden="1" x14ac:dyDescent="0.2">
      <c r="A86" s="11" t="s">
        <v>35</v>
      </c>
      <c r="B86" s="12" t="s">
        <v>36</v>
      </c>
      <c r="C86" s="12" t="s">
        <v>124</v>
      </c>
      <c r="D86" s="12">
        <v>20</v>
      </c>
      <c r="E86" s="12">
        <v>4</v>
      </c>
      <c r="F86" s="12">
        <v>2</v>
      </c>
      <c r="G86" s="12">
        <v>5</v>
      </c>
      <c r="H86" s="14">
        <v>513.19132579779796</v>
      </c>
      <c r="I86" s="15">
        <v>1.9277930259704501</v>
      </c>
      <c r="J86" s="16" t="s">
        <v>333</v>
      </c>
      <c r="K86" s="17"/>
      <c r="L86" s="18"/>
    </row>
    <row r="87" spans="1:12" hidden="1" x14ac:dyDescent="0.2">
      <c r="A87" s="11" t="s">
        <v>55</v>
      </c>
      <c r="B87" s="12" t="s">
        <v>36</v>
      </c>
      <c r="C87" s="12" t="s">
        <v>125</v>
      </c>
      <c r="D87" s="12">
        <v>20</v>
      </c>
      <c r="E87" s="12">
        <v>4</v>
      </c>
      <c r="F87" s="12">
        <v>2</v>
      </c>
      <c r="G87" s="12">
        <v>5</v>
      </c>
      <c r="H87" s="14">
        <v>477.38884622144298</v>
      </c>
      <c r="I87" s="15">
        <v>5.0568780899047798</v>
      </c>
      <c r="J87" s="16" t="s">
        <v>333</v>
      </c>
      <c r="K87" s="17"/>
      <c r="L87" s="17"/>
    </row>
    <row r="88" spans="1:12" hidden="1" x14ac:dyDescent="0.2">
      <c r="A88" s="11" t="s">
        <v>33</v>
      </c>
      <c r="B88" s="12" t="s">
        <v>36</v>
      </c>
      <c r="C88" s="12" t="s">
        <v>127</v>
      </c>
      <c r="D88" s="12">
        <v>30</v>
      </c>
      <c r="E88" s="12">
        <v>4</v>
      </c>
      <c r="F88" s="12">
        <v>2</v>
      </c>
      <c r="G88" s="12">
        <v>7</v>
      </c>
      <c r="H88" s="14">
        <v>614.85426275938801</v>
      </c>
      <c r="I88" s="15">
        <v>23.379904031753501</v>
      </c>
      <c r="J88" s="16" t="s">
        <v>333</v>
      </c>
    </row>
    <row r="89" spans="1:12" hidden="1" x14ac:dyDescent="0.2">
      <c r="A89" s="11" t="s">
        <v>56</v>
      </c>
      <c r="B89" s="12" t="s">
        <v>36</v>
      </c>
      <c r="C89" s="12" t="s">
        <v>128</v>
      </c>
      <c r="D89" s="12">
        <v>30</v>
      </c>
      <c r="E89" s="12">
        <v>7</v>
      </c>
      <c r="F89" s="12">
        <v>4</v>
      </c>
      <c r="G89" s="12">
        <v>6</v>
      </c>
      <c r="H89" s="14">
        <v>559.29607437413404</v>
      </c>
      <c r="I89" s="15">
        <v>29.969198942184399</v>
      </c>
      <c r="J89" s="16" t="s">
        <v>333</v>
      </c>
    </row>
    <row r="90" spans="1:12" hidden="1" x14ac:dyDescent="0.2">
      <c r="A90" s="11" t="s">
        <v>33</v>
      </c>
      <c r="B90" s="12" t="s">
        <v>36</v>
      </c>
      <c r="C90" s="12" t="s">
        <v>130</v>
      </c>
      <c r="D90" s="12">
        <v>30</v>
      </c>
      <c r="E90" s="12">
        <v>10</v>
      </c>
      <c r="F90" s="12">
        <v>5</v>
      </c>
      <c r="G90" s="12">
        <v>6</v>
      </c>
      <c r="H90" s="14">
        <v>603.52531393768004</v>
      </c>
      <c r="I90" s="15">
        <v>380.16521215438797</v>
      </c>
      <c r="J90" s="16" t="s">
        <v>333</v>
      </c>
    </row>
    <row r="91" spans="1:12" hidden="1" x14ac:dyDescent="0.2">
      <c r="A91" s="11" t="s">
        <v>33</v>
      </c>
      <c r="B91" s="12" t="s">
        <v>36</v>
      </c>
      <c r="C91" s="12" t="s">
        <v>132</v>
      </c>
      <c r="D91" s="12">
        <v>30</v>
      </c>
      <c r="E91" s="12">
        <v>4</v>
      </c>
      <c r="F91" s="12">
        <v>2</v>
      </c>
      <c r="G91" s="12">
        <v>8</v>
      </c>
      <c r="H91" s="14">
        <v>604.43098366082904</v>
      </c>
      <c r="I91" s="15">
        <v>34.6811008453369</v>
      </c>
      <c r="J91" s="16" t="s">
        <v>333</v>
      </c>
    </row>
    <row r="92" spans="1:12" hidden="1" x14ac:dyDescent="0.2">
      <c r="A92" s="11" t="s">
        <v>56</v>
      </c>
      <c r="B92" s="12" t="s">
        <v>36</v>
      </c>
      <c r="C92" s="12" t="s">
        <v>133</v>
      </c>
      <c r="D92" s="12">
        <v>30</v>
      </c>
      <c r="E92" s="12">
        <v>7</v>
      </c>
      <c r="F92" s="12">
        <v>4</v>
      </c>
      <c r="G92" s="12">
        <v>6</v>
      </c>
      <c r="H92" s="14">
        <v>583.74331877776797</v>
      </c>
      <c r="I92" s="15">
        <v>142.76205492019599</v>
      </c>
      <c r="J92" s="16" t="s">
        <v>333</v>
      </c>
    </row>
    <row r="93" spans="1:12" hidden="1" x14ac:dyDescent="0.2">
      <c r="A93" s="11" t="s">
        <v>33</v>
      </c>
      <c r="B93" s="12" t="s">
        <v>36</v>
      </c>
      <c r="C93" s="12" t="s">
        <v>135</v>
      </c>
      <c r="D93" s="12">
        <v>30</v>
      </c>
      <c r="E93" s="12">
        <v>9</v>
      </c>
      <c r="F93" s="12">
        <v>5</v>
      </c>
      <c r="G93" s="12">
        <v>6</v>
      </c>
      <c r="H93" s="14">
        <v>617.28649184489302</v>
      </c>
      <c r="I93" s="15">
        <v>134.369874000549</v>
      </c>
      <c r="J93" s="16" t="s">
        <v>333</v>
      </c>
    </row>
    <row r="94" spans="1:12" hidden="1" x14ac:dyDescent="0.2">
      <c r="A94" s="11" t="s">
        <v>33</v>
      </c>
      <c r="B94" s="12" t="s">
        <v>36</v>
      </c>
      <c r="C94" s="12" t="s">
        <v>136</v>
      </c>
      <c r="D94" s="12">
        <v>30</v>
      </c>
      <c r="E94" s="12">
        <v>4</v>
      </c>
      <c r="F94" s="12">
        <v>2</v>
      </c>
      <c r="G94" s="12">
        <v>8</v>
      </c>
      <c r="H94" s="14">
        <v>625.33721688251705</v>
      </c>
      <c r="I94" s="15">
        <v>45.842981100082397</v>
      </c>
      <c r="J94" s="16" t="s">
        <v>333</v>
      </c>
    </row>
    <row r="95" spans="1:12" hidden="1" x14ac:dyDescent="0.2">
      <c r="A95" s="11" t="s">
        <v>33</v>
      </c>
      <c r="B95" s="12" t="s">
        <v>36</v>
      </c>
      <c r="C95" s="12" t="s">
        <v>138</v>
      </c>
      <c r="D95" s="12">
        <v>30</v>
      </c>
      <c r="E95" s="12">
        <v>7</v>
      </c>
      <c r="F95" s="12">
        <v>4</v>
      </c>
      <c r="G95" s="12">
        <v>6</v>
      </c>
      <c r="H95" s="14">
        <v>572.12982116974501</v>
      </c>
      <c r="I95" s="15">
        <v>45.945784091949399</v>
      </c>
      <c r="J95" s="16" t="s">
        <v>333</v>
      </c>
    </row>
    <row r="96" spans="1:12" hidden="1" x14ac:dyDescent="0.2">
      <c r="A96" s="11" t="s">
        <v>33</v>
      </c>
      <c r="B96" s="12" t="s">
        <v>36</v>
      </c>
      <c r="C96" s="12" t="s">
        <v>139</v>
      </c>
      <c r="D96" s="12">
        <v>30</v>
      </c>
      <c r="E96" s="12">
        <v>9</v>
      </c>
      <c r="F96" s="12">
        <v>5</v>
      </c>
      <c r="G96" s="12">
        <v>6</v>
      </c>
      <c r="H96" s="14">
        <v>573.74043763102497</v>
      </c>
      <c r="I96" s="15">
        <v>96.721821784973102</v>
      </c>
      <c r="J96" s="16" t="s">
        <v>333</v>
      </c>
    </row>
    <row r="97" spans="1:10" hidden="1" x14ac:dyDescent="0.2">
      <c r="A97" s="11" t="s">
        <v>56</v>
      </c>
      <c r="B97" s="12" t="s">
        <v>36</v>
      </c>
      <c r="C97" s="12" t="s">
        <v>140</v>
      </c>
      <c r="D97" s="12">
        <v>30</v>
      </c>
      <c r="E97" s="12">
        <v>4</v>
      </c>
      <c r="F97" s="12">
        <v>2</v>
      </c>
      <c r="G97" s="12">
        <v>7</v>
      </c>
      <c r="H97" s="14">
        <v>580.59611085589495</v>
      </c>
      <c r="I97" s="15">
        <v>11.935112953186</v>
      </c>
      <c r="J97" s="16" t="s">
        <v>333</v>
      </c>
    </row>
    <row r="98" spans="1:10" hidden="1" x14ac:dyDescent="0.2">
      <c r="A98" s="11" t="s">
        <v>33</v>
      </c>
      <c r="B98" s="12" t="s">
        <v>36</v>
      </c>
      <c r="C98" s="12" t="s">
        <v>141</v>
      </c>
      <c r="D98" s="12">
        <v>30</v>
      </c>
      <c r="E98" s="12">
        <v>7</v>
      </c>
      <c r="F98" s="12">
        <v>4</v>
      </c>
      <c r="G98" s="12">
        <v>6</v>
      </c>
      <c r="H98" s="14">
        <v>574.15036143264604</v>
      </c>
      <c r="I98" s="15">
        <v>141.556409835815</v>
      </c>
      <c r="J98" s="16" t="s">
        <v>333</v>
      </c>
    </row>
    <row r="99" spans="1:10" hidden="1" x14ac:dyDescent="0.2">
      <c r="A99" s="11" t="s">
        <v>33</v>
      </c>
      <c r="B99" s="12" t="s">
        <v>36</v>
      </c>
      <c r="C99" s="12" t="s">
        <v>142</v>
      </c>
      <c r="D99" s="12">
        <v>30</v>
      </c>
      <c r="E99" s="12">
        <v>9</v>
      </c>
      <c r="F99" s="12">
        <v>5</v>
      </c>
      <c r="G99" s="12">
        <v>6</v>
      </c>
      <c r="H99" s="14">
        <v>588.32410208267299</v>
      </c>
      <c r="I99" s="15">
        <v>493.562120914459</v>
      </c>
      <c r="J99" s="16" t="s">
        <v>333</v>
      </c>
    </row>
    <row r="100" spans="1:10" hidden="1" x14ac:dyDescent="0.2">
      <c r="A100" s="11" t="s">
        <v>33</v>
      </c>
      <c r="B100" s="12" t="s">
        <v>36</v>
      </c>
      <c r="C100" s="12" t="s">
        <v>143</v>
      </c>
      <c r="D100" s="12">
        <v>30</v>
      </c>
      <c r="E100" s="12">
        <v>4</v>
      </c>
      <c r="F100" s="12">
        <v>2</v>
      </c>
      <c r="G100" s="12">
        <v>7</v>
      </c>
      <c r="H100" s="14">
        <v>587.46557980830505</v>
      </c>
      <c r="I100" s="15">
        <v>17.580650806426998</v>
      </c>
      <c r="J100" s="16" t="s">
        <v>333</v>
      </c>
    </row>
    <row r="101" spans="1:10" hidden="1" x14ac:dyDescent="0.2">
      <c r="A101" s="11" t="s">
        <v>35</v>
      </c>
      <c r="B101" s="12" t="s">
        <v>36</v>
      </c>
      <c r="C101" s="12" t="s">
        <v>144</v>
      </c>
      <c r="D101" s="12">
        <v>30</v>
      </c>
      <c r="E101" s="12">
        <v>7</v>
      </c>
      <c r="F101" s="12">
        <v>4</v>
      </c>
      <c r="G101" s="12">
        <v>6</v>
      </c>
      <c r="H101" s="14">
        <v>480.45524996468998</v>
      </c>
      <c r="I101" s="15">
        <v>26.328790187835601</v>
      </c>
      <c r="J101" s="16" t="s">
        <v>333</v>
      </c>
    </row>
    <row r="102" spans="1:10" hidden="1" x14ac:dyDescent="0.2">
      <c r="A102" s="11" t="s">
        <v>33</v>
      </c>
      <c r="B102" s="12" t="s">
        <v>36</v>
      </c>
      <c r="C102" s="12" t="s">
        <v>145</v>
      </c>
      <c r="D102" s="12">
        <v>30</v>
      </c>
      <c r="E102" s="12">
        <v>9</v>
      </c>
      <c r="F102" s="12">
        <v>5</v>
      </c>
      <c r="G102" s="12">
        <v>6</v>
      </c>
      <c r="H102" s="14">
        <v>531.18415941058595</v>
      </c>
      <c r="I102" s="15">
        <v>81.097220897674504</v>
      </c>
      <c r="J102" s="16" t="s">
        <v>333</v>
      </c>
    </row>
    <row r="103" spans="1:10" hidden="1" x14ac:dyDescent="0.2">
      <c r="A103" s="11" t="s">
        <v>33</v>
      </c>
      <c r="B103" s="12" t="s">
        <v>36</v>
      </c>
      <c r="C103" s="12" t="s">
        <v>147</v>
      </c>
      <c r="D103" s="12">
        <v>30</v>
      </c>
      <c r="E103" s="12">
        <v>4</v>
      </c>
      <c r="F103" s="12">
        <v>2</v>
      </c>
      <c r="G103" s="12">
        <v>7</v>
      </c>
      <c r="H103" s="14">
        <v>610.60365361303104</v>
      </c>
      <c r="I103" s="15">
        <v>457.34598803520203</v>
      </c>
      <c r="J103" s="16" t="s">
        <v>333</v>
      </c>
    </row>
    <row r="104" spans="1:10" hidden="1" x14ac:dyDescent="0.2">
      <c r="A104" s="11" t="s">
        <v>56</v>
      </c>
      <c r="B104" s="12" t="s">
        <v>36</v>
      </c>
      <c r="C104" s="12" t="s">
        <v>148</v>
      </c>
      <c r="D104" s="12">
        <v>30</v>
      </c>
      <c r="E104" s="12">
        <v>7</v>
      </c>
      <c r="F104" s="12">
        <v>4</v>
      </c>
      <c r="G104" s="12">
        <v>6</v>
      </c>
      <c r="H104" s="14">
        <v>572.91542641618901</v>
      </c>
      <c r="I104" s="15">
        <v>124.99067306518501</v>
      </c>
      <c r="J104" s="16" t="s">
        <v>333</v>
      </c>
    </row>
    <row r="105" spans="1:10" hidden="1" x14ac:dyDescent="0.2">
      <c r="A105" s="11" t="s">
        <v>33</v>
      </c>
      <c r="B105" s="12" t="s">
        <v>36</v>
      </c>
      <c r="C105" s="12" t="s">
        <v>149</v>
      </c>
      <c r="D105" s="12">
        <v>30</v>
      </c>
      <c r="E105" s="12">
        <v>9</v>
      </c>
      <c r="F105" s="12">
        <v>5</v>
      </c>
      <c r="G105" s="12">
        <v>6</v>
      </c>
      <c r="H105" s="14">
        <v>638.62151885975402</v>
      </c>
      <c r="I105" s="15">
        <v>1958.0467619895901</v>
      </c>
      <c r="J105" s="16" t="s">
        <v>333</v>
      </c>
    </row>
    <row r="106" spans="1:10" hidden="1" x14ac:dyDescent="0.2">
      <c r="A106" s="11" t="s">
        <v>33</v>
      </c>
      <c r="B106" s="12" t="s">
        <v>36</v>
      </c>
      <c r="C106" s="12" t="s">
        <v>151</v>
      </c>
      <c r="D106" s="12">
        <v>30</v>
      </c>
      <c r="E106" s="12">
        <v>4</v>
      </c>
      <c r="F106" s="12">
        <v>2</v>
      </c>
      <c r="G106" s="12">
        <v>7</v>
      </c>
      <c r="H106" s="14">
        <v>593.39961695471504</v>
      </c>
      <c r="I106" s="15">
        <v>84.646414041519094</v>
      </c>
      <c r="J106" s="16" t="s">
        <v>333</v>
      </c>
    </row>
    <row r="107" spans="1:10" hidden="1" x14ac:dyDescent="0.2">
      <c r="A107" s="11" t="s">
        <v>55</v>
      </c>
      <c r="B107" s="12" t="s">
        <v>36</v>
      </c>
      <c r="C107" s="12" t="s">
        <v>152</v>
      </c>
      <c r="D107" s="12">
        <v>30</v>
      </c>
      <c r="E107" s="12">
        <v>7</v>
      </c>
      <c r="F107" s="12">
        <v>4</v>
      </c>
      <c r="G107" s="12">
        <v>6</v>
      </c>
      <c r="H107" s="14">
        <v>589.97292258920004</v>
      </c>
      <c r="I107" s="15">
        <v>344.83621597289999</v>
      </c>
      <c r="J107" s="16" t="s">
        <v>333</v>
      </c>
    </row>
    <row r="108" spans="1:10" hidden="1" x14ac:dyDescent="0.2">
      <c r="A108" s="11" t="s">
        <v>33</v>
      </c>
      <c r="B108" s="12" t="s">
        <v>36</v>
      </c>
      <c r="C108" s="12" t="s">
        <v>153</v>
      </c>
      <c r="D108" s="12">
        <v>30</v>
      </c>
      <c r="E108" s="12">
        <v>9</v>
      </c>
      <c r="F108" s="12">
        <v>5</v>
      </c>
      <c r="G108" s="12">
        <v>5</v>
      </c>
      <c r="H108" s="14">
        <v>612.45955220522399</v>
      </c>
      <c r="I108" s="15">
        <v>286.386669874191</v>
      </c>
      <c r="J108" s="16" t="s">
        <v>333</v>
      </c>
    </row>
    <row r="109" spans="1:10" hidden="1" x14ac:dyDescent="0.2">
      <c r="A109" s="11" t="s">
        <v>33</v>
      </c>
      <c r="B109" s="12" t="s">
        <v>36</v>
      </c>
      <c r="C109" s="12" t="s">
        <v>154</v>
      </c>
      <c r="D109" s="12">
        <v>30</v>
      </c>
      <c r="E109" s="12">
        <v>4</v>
      </c>
      <c r="F109" s="12">
        <v>2</v>
      </c>
      <c r="G109" s="12">
        <v>7</v>
      </c>
      <c r="H109" s="14">
        <v>621.45718929618897</v>
      </c>
      <c r="I109" s="15">
        <v>167.15737605094901</v>
      </c>
      <c r="J109" s="16" t="s">
        <v>333</v>
      </c>
    </row>
    <row r="110" spans="1:10" hidden="1" x14ac:dyDescent="0.2">
      <c r="A110" s="11" t="s">
        <v>56</v>
      </c>
      <c r="B110" s="12" t="s">
        <v>36</v>
      </c>
      <c r="C110" s="12" t="s">
        <v>155</v>
      </c>
      <c r="D110" s="12">
        <v>30</v>
      </c>
      <c r="E110" s="12">
        <v>7</v>
      </c>
      <c r="F110" s="12">
        <v>4</v>
      </c>
      <c r="G110" s="12">
        <v>6</v>
      </c>
      <c r="H110" s="14">
        <v>563.21653164787904</v>
      </c>
      <c r="I110" s="15">
        <v>610.39452791213898</v>
      </c>
      <c r="J110" s="16" t="s">
        <v>333</v>
      </c>
    </row>
    <row r="111" spans="1:10" hidden="1" x14ac:dyDescent="0.2">
      <c r="A111" s="11" t="s">
        <v>33</v>
      </c>
      <c r="B111" s="12" t="s">
        <v>36</v>
      </c>
      <c r="C111" s="12" t="s">
        <v>156</v>
      </c>
      <c r="D111" s="12">
        <v>30</v>
      </c>
      <c r="E111" s="12">
        <v>9</v>
      </c>
      <c r="F111" s="12">
        <v>5</v>
      </c>
      <c r="G111" s="12">
        <v>6</v>
      </c>
      <c r="H111" s="14">
        <v>594.74787256859804</v>
      </c>
      <c r="I111" s="15">
        <v>106.092377901077</v>
      </c>
      <c r="J111" s="16" t="s">
        <v>333</v>
      </c>
    </row>
    <row r="112" spans="1:10" hidden="1" x14ac:dyDescent="0.2">
      <c r="A112" s="11" t="s">
        <v>56</v>
      </c>
      <c r="B112" s="12" t="s">
        <v>36</v>
      </c>
      <c r="C112" s="12" t="s">
        <v>157</v>
      </c>
      <c r="D112" s="12">
        <v>30</v>
      </c>
      <c r="E112" s="12">
        <v>4</v>
      </c>
      <c r="F112" s="12">
        <v>2</v>
      </c>
      <c r="G112" s="12">
        <v>7</v>
      </c>
      <c r="H112" s="14">
        <v>601.56933214826802</v>
      </c>
      <c r="I112" s="15">
        <v>62.577523946762</v>
      </c>
      <c r="J112" s="16" t="s">
        <v>333</v>
      </c>
    </row>
    <row r="113" spans="1:10" hidden="1" x14ac:dyDescent="0.2">
      <c r="A113" s="11" t="s">
        <v>56</v>
      </c>
      <c r="B113" s="12" t="s">
        <v>36</v>
      </c>
      <c r="C113" s="12" t="s">
        <v>158</v>
      </c>
      <c r="D113" s="12">
        <v>30</v>
      </c>
      <c r="E113" s="12">
        <v>7</v>
      </c>
      <c r="F113" s="12">
        <v>4</v>
      </c>
      <c r="G113" s="12">
        <v>6</v>
      </c>
      <c r="H113" s="14">
        <v>562.42026347771503</v>
      </c>
      <c r="I113" s="15">
        <v>283.70817399024901</v>
      </c>
      <c r="J113" s="16" t="s">
        <v>333</v>
      </c>
    </row>
    <row r="114" spans="1:10" hidden="1" x14ac:dyDescent="0.2">
      <c r="A114" s="11" t="s">
        <v>56</v>
      </c>
      <c r="B114" s="12" t="s">
        <v>36</v>
      </c>
      <c r="C114" s="12" t="s">
        <v>159</v>
      </c>
      <c r="D114" s="12">
        <v>30</v>
      </c>
      <c r="E114" s="12">
        <v>9</v>
      </c>
      <c r="F114" s="12">
        <v>5</v>
      </c>
      <c r="G114" s="12">
        <v>5</v>
      </c>
      <c r="H114" s="14">
        <v>583.76259724559895</v>
      </c>
      <c r="I114" s="15">
        <v>386.23198819160399</v>
      </c>
      <c r="J114" s="16" t="s">
        <v>333</v>
      </c>
    </row>
    <row r="115" spans="1:10" hidden="1" x14ac:dyDescent="0.2">
      <c r="A115" s="11" t="s">
        <v>56</v>
      </c>
      <c r="B115" s="12" t="s">
        <v>36</v>
      </c>
      <c r="C115" s="12" t="s">
        <v>161</v>
      </c>
      <c r="D115" s="12">
        <v>30</v>
      </c>
      <c r="E115" s="12">
        <v>4</v>
      </c>
      <c r="F115" s="12">
        <v>2</v>
      </c>
      <c r="G115" s="12">
        <v>6</v>
      </c>
      <c r="H115" s="14">
        <v>580.46824533446795</v>
      </c>
      <c r="I115" s="15">
        <v>229.328274965286</v>
      </c>
      <c r="J115" s="16" t="s">
        <v>333</v>
      </c>
    </row>
    <row r="116" spans="1:10" hidden="1" x14ac:dyDescent="0.2">
      <c r="A116" s="11" t="s">
        <v>55</v>
      </c>
      <c r="B116" s="12" t="s">
        <v>36</v>
      </c>
      <c r="C116" s="12" t="s">
        <v>162</v>
      </c>
      <c r="D116" s="12">
        <v>30</v>
      </c>
      <c r="E116" s="12">
        <v>7</v>
      </c>
      <c r="F116" s="12">
        <v>4</v>
      </c>
      <c r="G116" s="12">
        <v>6</v>
      </c>
      <c r="H116" s="14">
        <v>523.214595609512</v>
      </c>
      <c r="I116" s="15">
        <v>407.62676215171803</v>
      </c>
      <c r="J116" s="16" t="s">
        <v>333</v>
      </c>
    </row>
    <row r="117" spans="1:10" hidden="1" x14ac:dyDescent="0.2">
      <c r="A117" s="11" t="s">
        <v>56</v>
      </c>
      <c r="B117" s="12" t="s">
        <v>36</v>
      </c>
      <c r="C117" s="12" t="s">
        <v>163</v>
      </c>
      <c r="D117" s="12">
        <v>30</v>
      </c>
      <c r="E117" s="12">
        <v>9</v>
      </c>
      <c r="F117" s="12">
        <v>5</v>
      </c>
      <c r="G117" s="12">
        <v>6</v>
      </c>
      <c r="H117" s="14">
        <v>543.334772706948</v>
      </c>
      <c r="I117" s="15">
        <v>275.05240297317499</v>
      </c>
      <c r="J117" s="16" t="s">
        <v>333</v>
      </c>
    </row>
    <row r="118" spans="1:10" hidden="1" x14ac:dyDescent="0.2">
      <c r="A118" s="11" t="s">
        <v>56</v>
      </c>
      <c r="B118" s="12" t="s">
        <v>36</v>
      </c>
      <c r="C118" s="12" t="s">
        <v>164</v>
      </c>
      <c r="D118" s="12">
        <v>30</v>
      </c>
      <c r="E118" s="12">
        <v>4</v>
      </c>
      <c r="F118" s="12">
        <v>2</v>
      </c>
      <c r="G118" s="12">
        <v>6</v>
      </c>
      <c r="H118" s="14">
        <v>548.77752458700695</v>
      </c>
      <c r="I118" s="15">
        <v>64.773472070693899</v>
      </c>
      <c r="J118" s="16" t="s">
        <v>333</v>
      </c>
    </row>
    <row r="119" spans="1:10" hidden="1" x14ac:dyDescent="0.2">
      <c r="A119" s="11" t="s">
        <v>56</v>
      </c>
      <c r="B119" s="12" t="s">
        <v>36</v>
      </c>
      <c r="C119" s="12" t="s">
        <v>165</v>
      </c>
      <c r="D119" s="12">
        <v>30</v>
      </c>
      <c r="E119" s="12">
        <v>7</v>
      </c>
      <c r="F119" s="12">
        <v>4</v>
      </c>
      <c r="G119" s="12">
        <v>7</v>
      </c>
      <c r="H119" s="14">
        <v>563.31508522102502</v>
      </c>
      <c r="I119" s="15">
        <v>303.44088602066</v>
      </c>
      <c r="J119" s="16" t="s">
        <v>333</v>
      </c>
    </row>
    <row r="120" spans="1:10" hidden="1" x14ac:dyDescent="0.2">
      <c r="A120" s="11" t="s">
        <v>56</v>
      </c>
      <c r="B120" s="12" t="s">
        <v>36</v>
      </c>
      <c r="C120" s="12" t="s">
        <v>167</v>
      </c>
      <c r="D120" s="12">
        <v>30</v>
      </c>
      <c r="E120" s="12">
        <v>9</v>
      </c>
      <c r="F120" s="12">
        <v>5</v>
      </c>
      <c r="G120" s="12">
        <v>6</v>
      </c>
      <c r="H120" s="14">
        <v>584.75837755116697</v>
      </c>
      <c r="I120" s="15">
        <v>1523.18753504753</v>
      </c>
      <c r="J120" s="16" t="s">
        <v>333</v>
      </c>
    </row>
    <row r="121" spans="1:10" hidden="1" x14ac:dyDescent="0.2">
      <c r="A121" s="11" t="s">
        <v>56</v>
      </c>
      <c r="B121" s="12" t="s">
        <v>36</v>
      </c>
      <c r="C121" s="12" t="s">
        <v>168</v>
      </c>
      <c r="D121" s="12">
        <v>30</v>
      </c>
      <c r="E121" s="12">
        <v>4</v>
      </c>
      <c r="F121" s="12">
        <v>2</v>
      </c>
      <c r="G121" s="12">
        <v>7</v>
      </c>
      <c r="H121" s="14">
        <v>594.34685666145504</v>
      </c>
      <c r="I121" s="15">
        <v>514.63334202766396</v>
      </c>
      <c r="J121" s="16" t="s">
        <v>333</v>
      </c>
    </row>
    <row r="122" spans="1:10" hidden="1" x14ac:dyDescent="0.2">
      <c r="A122" s="11" t="s">
        <v>56</v>
      </c>
      <c r="B122" s="12" t="s">
        <v>36</v>
      </c>
      <c r="C122" s="12" t="s">
        <v>170</v>
      </c>
      <c r="D122" s="12">
        <v>30</v>
      </c>
      <c r="E122" s="12">
        <v>7</v>
      </c>
      <c r="F122" s="12">
        <v>4</v>
      </c>
      <c r="G122" s="12">
        <v>6</v>
      </c>
      <c r="H122" s="14">
        <v>557.62237018224505</v>
      </c>
      <c r="I122" s="15">
        <v>590.21674799919106</v>
      </c>
      <c r="J122" s="16" t="s">
        <v>333</v>
      </c>
    </row>
    <row r="123" spans="1:10" hidden="1" x14ac:dyDescent="0.2">
      <c r="A123" s="11" t="s">
        <v>56</v>
      </c>
      <c r="B123" s="12" t="s">
        <v>36</v>
      </c>
      <c r="C123" s="12" t="s">
        <v>171</v>
      </c>
      <c r="D123" s="12">
        <v>30</v>
      </c>
      <c r="E123" s="12">
        <v>9</v>
      </c>
      <c r="F123" s="12">
        <v>5</v>
      </c>
      <c r="G123" s="12">
        <v>6</v>
      </c>
      <c r="H123" s="14">
        <v>599.36868580408805</v>
      </c>
      <c r="I123" s="15">
        <v>370.30948996543799</v>
      </c>
      <c r="J123" s="16" t="s">
        <v>333</v>
      </c>
    </row>
    <row r="124" spans="1:10" hidden="1" x14ac:dyDescent="0.2">
      <c r="A124" s="11" t="s">
        <v>56</v>
      </c>
      <c r="B124" s="12" t="s">
        <v>36</v>
      </c>
      <c r="C124" s="12" t="s">
        <v>172</v>
      </c>
      <c r="D124" s="12">
        <v>30</v>
      </c>
      <c r="E124" s="12">
        <v>4</v>
      </c>
      <c r="F124" s="12">
        <v>2</v>
      </c>
      <c r="G124" s="12">
        <v>7</v>
      </c>
      <c r="H124" s="14">
        <v>585.99256243495597</v>
      </c>
      <c r="I124" s="15">
        <v>216.868726968765</v>
      </c>
      <c r="J124" s="16" t="s">
        <v>333</v>
      </c>
    </row>
    <row r="125" spans="1:10" hidden="1" x14ac:dyDescent="0.2">
      <c r="A125" s="11" t="s">
        <v>56</v>
      </c>
      <c r="B125" s="12" t="s">
        <v>36</v>
      </c>
      <c r="C125" s="12" t="s">
        <v>174</v>
      </c>
      <c r="D125" s="12">
        <v>30</v>
      </c>
      <c r="E125" s="12">
        <v>7</v>
      </c>
      <c r="F125" s="12">
        <v>4</v>
      </c>
      <c r="G125" s="12">
        <v>6</v>
      </c>
      <c r="H125" s="14">
        <v>578.95401001361301</v>
      </c>
      <c r="I125" s="15">
        <v>2065.8874769210802</v>
      </c>
      <c r="J125" s="16" t="s">
        <v>333</v>
      </c>
    </row>
    <row r="126" spans="1:10" hidden="1" x14ac:dyDescent="0.2">
      <c r="A126" s="11"/>
      <c r="B126" s="12" t="s">
        <v>36</v>
      </c>
      <c r="C126" s="12" t="s">
        <v>175</v>
      </c>
      <c r="D126" s="12">
        <v>30</v>
      </c>
      <c r="E126" s="12">
        <v>9</v>
      </c>
      <c r="F126" s="12">
        <v>5</v>
      </c>
      <c r="G126" s="12">
        <v>6</v>
      </c>
      <c r="H126" s="14">
        <v>579.09016070696896</v>
      </c>
      <c r="I126" s="15">
        <v>290.110055923461</v>
      </c>
      <c r="J126" s="16" t="s">
        <v>333</v>
      </c>
    </row>
    <row r="127" spans="1:10" hidden="1" x14ac:dyDescent="0.2">
      <c r="A127" s="11" t="s">
        <v>56</v>
      </c>
      <c r="B127" s="12" t="s">
        <v>36</v>
      </c>
      <c r="C127" s="12" t="s">
        <v>176</v>
      </c>
      <c r="D127" s="12">
        <v>30</v>
      </c>
      <c r="E127" s="12">
        <v>4</v>
      </c>
      <c r="F127" s="12">
        <v>2</v>
      </c>
      <c r="G127" s="12">
        <v>8</v>
      </c>
      <c r="H127" s="14">
        <v>574.24204541515599</v>
      </c>
      <c r="I127" s="15">
        <v>143.77987098693799</v>
      </c>
      <c r="J127" s="16" t="s">
        <v>333</v>
      </c>
    </row>
    <row r="128" spans="1:10" hidden="1" x14ac:dyDescent="0.2">
      <c r="A128" s="11"/>
      <c r="B128" s="12" t="s">
        <v>36</v>
      </c>
      <c r="C128" s="12" t="s">
        <v>177</v>
      </c>
      <c r="D128" s="12">
        <v>30</v>
      </c>
      <c r="E128" s="12">
        <v>7</v>
      </c>
      <c r="F128" s="12">
        <v>4</v>
      </c>
      <c r="G128" s="12">
        <v>6</v>
      </c>
      <c r="H128" s="14">
        <v>542.67434682730698</v>
      </c>
      <c r="I128" s="15">
        <v>1100.92534399032</v>
      </c>
      <c r="J128" s="16" t="s">
        <v>333</v>
      </c>
    </row>
    <row r="129" spans="1:10" hidden="1" x14ac:dyDescent="0.2">
      <c r="A129" s="11" t="s">
        <v>33</v>
      </c>
      <c r="B129" s="12" t="s">
        <v>36</v>
      </c>
      <c r="C129" s="12" t="s">
        <v>179</v>
      </c>
      <c r="D129" s="12">
        <v>30</v>
      </c>
      <c r="E129" s="12">
        <v>9</v>
      </c>
      <c r="F129" s="12">
        <v>5</v>
      </c>
      <c r="G129" s="12">
        <v>6</v>
      </c>
      <c r="H129" s="14">
        <v>544.52084232311404</v>
      </c>
      <c r="I129" s="15">
        <v>681.87590193748395</v>
      </c>
      <c r="J129" s="16" t="s">
        <v>333</v>
      </c>
    </row>
    <row r="130" spans="1:10" hidden="1" x14ac:dyDescent="0.2">
      <c r="A130" s="11" t="s">
        <v>37</v>
      </c>
      <c r="B130" s="12" t="s">
        <v>36</v>
      </c>
      <c r="C130" s="12" t="s">
        <v>180</v>
      </c>
      <c r="D130" s="12">
        <v>30</v>
      </c>
      <c r="E130" s="12">
        <v>4</v>
      </c>
      <c r="F130" s="12">
        <v>2</v>
      </c>
      <c r="G130" s="12">
        <v>7</v>
      </c>
      <c r="H130" s="14">
        <v>581.37177342506595</v>
      </c>
      <c r="I130" s="15">
        <v>697.19886302947998</v>
      </c>
      <c r="J130" s="16" t="s">
        <v>333</v>
      </c>
    </row>
    <row r="131" spans="1:10" hidden="1" x14ac:dyDescent="0.2">
      <c r="A131" s="11" t="s">
        <v>35</v>
      </c>
      <c r="B131" s="12" t="s">
        <v>36</v>
      </c>
      <c r="C131" s="12" t="s">
        <v>182</v>
      </c>
      <c r="D131" s="12">
        <v>30</v>
      </c>
      <c r="E131" s="12">
        <v>7</v>
      </c>
      <c r="F131" s="12">
        <v>4</v>
      </c>
      <c r="G131" s="12">
        <v>5</v>
      </c>
      <c r="H131" s="14">
        <v>466.675332194129</v>
      </c>
      <c r="I131" s="15">
        <v>491.30132007598797</v>
      </c>
      <c r="J131" s="16" t="s">
        <v>333</v>
      </c>
    </row>
    <row r="132" spans="1:10" hidden="1" x14ac:dyDescent="0.2">
      <c r="A132" s="11" t="s">
        <v>35</v>
      </c>
      <c r="B132" s="12" t="s">
        <v>36</v>
      </c>
      <c r="C132" s="12" t="s">
        <v>183</v>
      </c>
      <c r="D132" s="12">
        <v>30</v>
      </c>
      <c r="E132" s="12">
        <v>9</v>
      </c>
      <c r="F132" s="12">
        <v>5</v>
      </c>
      <c r="G132" s="12">
        <v>5</v>
      </c>
      <c r="H132" s="14">
        <v>500.72101593529601</v>
      </c>
      <c r="I132" s="15">
        <v>612.97171187400795</v>
      </c>
      <c r="J132" s="16" t="s">
        <v>333</v>
      </c>
    </row>
    <row r="133" spans="1:10" hidden="1" x14ac:dyDescent="0.2">
      <c r="A133" s="11" t="s">
        <v>33</v>
      </c>
      <c r="B133" s="12" t="s">
        <v>36</v>
      </c>
      <c r="C133" s="12" t="s">
        <v>184</v>
      </c>
      <c r="D133" s="12">
        <v>30</v>
      </c>
      <c r="E133" s="12">
        <v>4</v>
      </c>
      <c r="F133" s="12">
        <v>2</v>
      </c>
      <c r="G133" s="12">
        <v>6</v>
      </c>
      <c r="H133" s="14">
        <v>556.11062249922998</v>
      </c>
      <c r="I133" s="15">
        <v>6.0390028953552202</v>
      </c>
      <c r="J133" s="16" t="s">
        <v>333</v>
      </c>
    </row>
    <row r="134" spans="1:10" hidden="1" x14ac:dyDescent="0.2">
      <c r="A134" s="11" t="s">
        <v>56</v>
      </c>
      <c r="B134" s="12" t="s">
        <v>36</v>
      </c>
      <c r="C134" s="12" t="s">
        <v>185</v>
      </c>
      <c r="D134" s="12">
        <v>30</v>
      </c>
      <c r="E134" s="12">
        <v>7</v>
      </c>
      <c r="F134" s="12">
        <v>4</v>
      </c>
      <c r="G134" s="12">
        <v>7</v>
      </c>
      <c r="H134" s="14">
        <v>575.96044097476397</v>
      </c>
      <c r="I134" s="15">
        <v>27.951448917388898</v>
      </c>
      <c r="J134" s="16" t="s">
        <v>333</v>
      </c>
    </row>
    <row r="135" spans="1:10" hidden="1" x14ac:dyDescent="0.2">
      <c r="A135" s="11" t="s">
        <v>33</v>
      </c>
      <c r="B135" s="12" t="s">
        <v>36</v>
      </c>
      <c r="C135" s="12" t="s">
        <v>186</v>
      </c>
      <c r="D135" s="12">
        <v>30</v>
      </c>
      <c r="E135" s="12">
        <v>9</v>
      </c>
      <c r="F135" s="12">
        <v>5</v>
      </c>
      <c r="G135" s="12">
        <v>6</v>
      </c>
      <c r="H135" s="14">
        <v>617.69920860269997</v>
      </c>
      <c r="I135" s="15">
        <v>182.87515187263401</v>
      </c>
      <c r="J135" s="16" t="s">
        <v>333</v>
      </c>
    </row>
    <row r="136" spans="1:10" hidden="1" x14ac:dyDescent="0.2">
      <c r="A136" s="11" t="s">
        <v>56</v>
      </c>
      <c r="B136" s="12" t="s">
        <v>36</v>
      </c>
      <c r="C136" s="12" t="s">
        <v>187</v>
      </c>
      <c r="D136" s="12">
        <v>30</v>
      </c>
      <c r="E136" s="12">
        <v>4</v>
      </c>
      <c r="F136" s="12">
        <v>2</v>
      </c>
      <c r="G136" s="12">
        <v>7</v>
      </c>
      <c r="H136" s="14">
        <v>603.62183296559999</v>
      </c>
      <c r="I136" s="15">
        <v>23.620621919631901</v>
      </c>
      <c r="J136" s="16" t="s">
        <v>333</v>
      </c>
    </row>
    <row r="137" spans="1:10" hidden="1" x14ac:dyDescent="0.2">
      <c r="A137" s="11" t="s">
        <v>56</v>
      </c>
      <c r="B137" s="12" t="s">
        <v>36</v>
      </c>
      <c r="C137" s="12" t="s">
        <v>188</v>
      </c>
      <c r="D137" s="12">
        <v>30</v>
      </c>
      <c r="E137" s="12">
        <v>7</v>
      </c>
      <c r="F137" s="12">
        <v>4</v>
      </c>
      <c r="G137" s="12">
        <v>6</v>
      </c>
      <c r="H137" s="14">
        <v>594.06347808686405</v>
      </c>
      <c r="I137" s="15">
        <v>123.695536136627</v>
      </c>
      <c r="J137" s="16" t="s">
        <v>333</v>
      </c>
    </row>
    <row r="138" spans="1:10" hidden="1" x14ac:dyDescent="0.2">
      <c r="A138" s="11" t="s">
        <v>56</v>
      </c>
      <c r="B138" s="12" t="s">
        <v>36</v>
      </c>
      <c r="C138" s="12" t="s">
        <v>189</v>
      </c>
      <c r="D138" s="12">
        <v>30</v>
      </c>
      <c r="E138" s="12">
        <v>9</v>
      </c>
      <c r="F138" s="12">
        <v>5</v>
      </c>
      <c r="G138" s="12">
        <v>6</v>
      </c>
      <c r="H138" s="14">
        <v>618.45887816592699</v>
      </c>
      <c r="I138" s="15">
        <v>159.800506830215</v>
      </c>
      <c r="J138" s="16" t="s">
        <v>333</v>
      </c>
    </row>
    <row r="139" spans="1:10" hidden="1" x14ac:dyDescent="0.2">
      <c r="A139" s="11" t="s">
        <v>33</v>
      </c>
      <c r="B139" s="12" t="s">
        <v>36</v>
      </c>
      <c r="C139" s="12" t="s">
        <v>190</v>
      </c>
      <c r="D139" s="12">
        <v>30</v>
      </c>
      <c r="E139" s="12">
        <v>4</v>
      </c>
      <c r="F139" s="12">
        <v>2</v>
      </c>
      <c r="G139" s="12">
        <v>7</v>
      </c>
      <c r="H139" s="14">
        <v>592.13787113389503</v>
      </c>
      <c r="I139" s="15">
        <v>16.587654113769499</v>
      </c>
      <c r="J139" s="16" t="s">
        <v>333</v>
      </c>
    </row>
    <row r="140" spans="1:10" hidden="1" x14ac:dyDescent="0.2">
      <c r="A140" s="11" t="s">
        <v>116</v>
      </c>
      <c r="B140" s="12" t="s">
        <v>36</v>
      </c>
      <c r="C140" s="12" t="s">
        <v>191</v>
      </c>
      <c r="D140" s="12">
        <v>30</v>
      </c>
      <c r="E140" s="12">
        <v>7</v>
      </c>
      <c r="F140" s="12">
        <v>4</v>
      </c>
      <c r="G140" s="12">
        <v>6</v>
      </c>
      <c r="H140" s="14">
        <v>554.97510150857397</v>
      </c>
      <c r="I140" s="15">
        <v>68.662924051284705</v>
      </c>
      <c r="J140" s="16" t="s">
        <v>333</v>
      </c>
    </row>
    <row r="141" spans="1:10" hidden="1" x14ac:dyDescent="0.2">
      <c r="A141" s="11" t="s">
        <v>56</v>
      </c>
      <c r="B141" s="12" t="s">
        <v>36</v>
      </c>
      <c r="C141" s="12" t="s">
        <v>192</v>
      </c>
      <c r="D141" s="12">
        <v>30</v>
      </c>
      <c r="E141" s="12">
        <v>9</v>
      </c>
      <c r="F141" s="12">
        <v>5</v>
      </c>
      <c r="G141" s="12">
        <v>6</v>
      </c>
      <c r="H141" s="14">
        <v>578.67001386192806</v>
      </c>
      <c r="I141" s="15">
        <v>110.24678897857601</v>
      </c>
      <c r="J141" s="16" t="s">
        <v>333</v>
      </c>
    </row>
    <row r="142" spans="1:10" hidden="1" x14ac:dyDescent="0.2">
      <c r="A142" s="11" t="s">
        <v>56</v>
      </c>
      <c r="B142" s="12" t="s">
        <v>36</v>
      </c>
      <c r="C142" s="12" t="s">
        <v>193</v>
      </c>
      <c r="D142" s="12">
        <v>30</v>
      </c>
      <c r="E142" s="12">
        <v>4</v>
      </c>
      <c r="F142" s="12">
        <v>2</v>
      </c>
      <c r="G142" s="12">
        <v>8</v>
      </c>
      <c r="H142" s="14">
        <v>593.79201706580295</v>
      </c>
      <c r="I142" s="15">
        <v>15.2982218265533</v>
      </c>
      <c r="J142" s="16" t="s">
        <v>333</v>
      </c>
    </row>
    <row r="143" spans="1:10" hidden="1" x14ac:dyDescent="0.2">
      <c r="A143" s="11" t="s">
        <v>56</v>
      </c>
      <c r="B143" s="12" t="s">
        <v>36</v>
      </c>
      <c r="C143" s="12" t="s">
        <v>194</v>
      </c>
      <c r="D143" s="12">
        <v>30</v>
      </c>
      <c r="E143" s="12">
        <v>7</v>
      </c>
      <c r="F143" s="12">
        <v>4</v>
      </c>
      <c r="G143" s="12">
        <v>6</v>
      </c>
      <c r="H143" s="14">
        <v>555.82746540212497</v>
      </c>
      <c r="I143" s="15">
        <v>77.269529819488497</v>
      </c>
      <c r="J143" s="16" t="s">
        <v>333</v>
      </c>
    </row>
    <row r="144" spans="1:10" hidden="1" x14ac:dyDescent="0.2">
      <c r="A144" s="11" t="s">
        <v>56</v>
      </c>
      <c r="B144" s="12" t="s">
        <v>36</v>
      </c>
      <c r="C144" s="12" t="s">
        <v>195</v>
      </c>
      <c r="D144" s="12">
        <v>30</v>
      </c>
      <c r="E144" s="12">
        <v>9</v>
      </c>
      <c r="F144" s="12">
        <v>5</v>
      </c>
      <c r="G144" s="12">
        <v>6</v>
      </c>
      <c r="H144" s="14">
        <v>590.10712208380698</v>
      </c>
      <c r="I144" s="15">
        <v>421.94705796241698</v>
      </c>
      <c r="J144" s="16" t="s">
        <v>333</v>
      </c>
    </row>
    <row r="145" spans="1:14" hidden="1" x14ac:dyDescent="0.2">
      <c r="A145" s="11" t="s">
        <v>56</v>
      </c>
      <c r="B145" s="12" t="s">
        <v>36</v>
      </c>
      <c r="C145" s="12" t="s">
        <v>197</v>
      </c>
      <c r="D145" s="12">
        <v>30</v>
      </c>
      <c r="E145" s="12">
        <v>4</v>
      </c>
      <c r="F145" s="12">
        <v>2</v>
      </c>
      <c r="G145" s="12">
        <v>7</v>
      </c>
      <c r="H145" s="14">
        <v>595.85638509785804</v>
      </c>
      <c r="I145" s="15">
        <v>24.830132961273101</v>
      </c>
      <c r="J145" s="16" t="s">
        <v>333</v>
      </c>
    </row>
    <row r="146" spans="1:14" hidden="1" x14ac:dyDescent="0.2">
      <c r="A146" s="11" t="s">
        <v>56</v>
      </c>
      <c r="B146" s="12" t="s">
        <v>36</v>
      </c>
      <c r="C146" s="12" t="s">
        <v>198</v>
      </c>
      <c r="D146" s="12">
        <v>30</v>
      </c>
      <c r="E146" s="12">
        <v>7</v>
      </c>
      <c r="F146" s="12">
        <v>4</v>
      </c>
      <c r="G146" s="12">
        <v>6</v>
      </c>
      <c r="H146" s="14">
        <v>484.49302925266102</v>
      </c>
      <c r="I146" s="15">
        <v>32.574844121932898</v>
      </c>
      <c r="J146" s="16" t="s">
        <v>333</v>
      </c>
    </row>
    <row r="147" spans="1:14" hidden="1" x14ac:dyDescent="0.2">
      <c r="A147" s="11" t="s">
        <v>56</v>
      </c>
      <c r="B147" s="12" t="s">
        <v>36</v>
      </c>
      <c r="C147" s="12" t="s">
        <v>200</v>
      </c>
      <c r="D147" s="12">
        <v>30</v>
      </c>
      <c r="E147" s="12">
        <v>9</v>
      </c>
      <c r="F147" s="12">
        <v>5</v>
      </c>
      <c r="G147" s="12">
        <v>7</v>
      </c>
      <c r="H147" s="14">
        <v>579.970793506929</v>
      </c>
      <c r="I147" s="15">
        <v>159.243954896926</v>
      </c>
      <c r="J147" s="16" t="s">
        <v>333</v>
      </c>
    </row>
    <row r="148" spans="1:14" hidden="1" x14ac:dyDescent="0.2">
      <c r="A148" s="11" t="s">
        <v>35</v>
      </c>
      <c r="B148" s="12" t="s">
        <v>36</v>
      </c>
      <c r="C148" s="12" t="s">
        <v>202</v>
      </c>
      <c r="D148" s="12">
        <v>50</v>
      </c>
      <c r="E148" s="12">
        <v>4</v>
      </c>
      <c r="F148" s="12">
        <v>2</v>
      </c>
      <c r="G148" s="12">
        <v>12</v>
      </c>
      <c r="H148" s="14">
        <v>904.67917181827704</v>
      </c>
      <c r="I148" s="15">
        <v>709.98932504653897</v>
      </c>
      <c r="J148" s="16" t="s">
        <v>333</v>
      </c>
      <c r="N148" s="11"/>
    </row>
    <row r="149" spans="1:14" hidden="1" x14ac:dyDescent="0.2">
      <c r="A149" s="11" t="s">
        <v>56</v>
      </c>
      <c r="B149" s="12" t="s">
        <v>36</v>
      </c>
      <c r="C149" s="12" t="s">
        <v>204</v>
      </c>
      <c r="D149" s="12">
        <v>50</v>
      </c>
      <c r="E149" s="12">
        <v>7</v>
      </c>
      <c r="F149" s="12">
        <v>4</v>
      </c>
      <c r="G149" s="12">
        <v>10</v>
      </c>
      <c r="H149" s="14">
        <v>747.15817166929799</v>
      </c>
      <c r="I149" s="15">
        <v>1055.41406917572</v>
      </c>
      <c r="J149" s="16" t="s">
        <v>333</v>
      </c>
      <c r="N149" s="12"/>
    </row>
    <row r="150" spans="1:14" hidden="1" x14ac:dyDescent="0.2">
      <c r="A150" s="11" t="s">
        <v>35</v>
      </c>
      <c r="B150" s="12" t="s">
        <v>36</v>
      </c>
      <c r="C150" s="12" t="s">
        <v>206</v>
      </c>
      <c r="D150" s="12">
        <v>50</v>
      </c>
      <c r="E150" s="12">
        <v>9</v>
      </c>
      <c r="F150" s="12">
        <v>5</v>
      </c>
      <c r="G150" s="12">
        <v>10</v>
      </c>
      <c r="H150" s="14">
        <v>806.07474252105806</v>
      </c>
      <c r="I150" s="15">
        <v>975.98827004432599</v>
      </c>
      <c r="J150" s="16" t="s">
        <v>333</v>
      </c>
      <c r="N150" s="12"/>
    </row>
    <row r="151" spans="1:14" hidden="1" x14ac:dyDescent="0.2">
      <c r="A151" s="11" t="s">
        <v>35</v>
      </c>
      <c r="B151" s="12" t="s">
        <v>36</v>
      </c>
      <c r="C151" s="12" t="s">
        <v>207</v>
      </c>
      <c r="D151" s="12">
        <v>50</v>
      </c>
      <c r="E151" s="12">
        <v>4</v>
      </c>
      <c r="F151" s="12">
        <v>2</v>
      </c>
      <c r="G151" s="12">
        <v>12</v>
      </c>
      <c r="H151" s="14">
        <v>929.59586886478803</v>
      </c>
      <c r="I151" s="15">
        <v>938.81986904144196</v>
      </c>
      <c r="J151" s="16" t="s">
        <v>333</v>
      </c>
      <c r="N151" s="12"/>
    </row>
    <row r="152" spans="1:14" hidden="1" x14ac:dyDescent="0.2">
      <c r="A152" s="11" t="s">
        <v>55</v>
      </c>
      <c r="B152" s="12" t="s">
        <v>36</v>
      </c>
      <c r="C152" s="12" t="s">
        <v>208</v>
      </c>
      <c r="D152" s="12">
        <v>50</v>
      </c>
      <c r="E152" s="12">
        <v>7</v>
      </c>
      <c r="F152" s="12">
        <v>4</v>
      </c>
      <c r="G152" s="12">
        <v>10</v>
      </c>
      <c r="H152" s="14">
        <v>744.256756990094</v>
      </c>
      <c r="I152" s="15">
        <v>521.782878160476</v>
      </c>
      <c r="J152" s="16" t="s">
        <v>333</v>
      </c>
      <c r="N152" s="12"/>
    </row>
    <row r="153" spans="1:14" hidden="1" x14ac:dyDescent="0.2">
      <c r="A153" s="11" t="s">
        <v>55</v>
      </c>
      <c r="B153" s="12" t="s">
        <v>36</v>
      </c>
      <c r="C153" s="12" t="s">
        <v>210</v>
      </c>
      <c r="D153" s="12">
        <v>50</v>
      </c>
      <c r="E153" s="12">
        <v>9</v>
      </c>
      <c r="F153" s="12">
        <v>5</v>
      </c>
      <c r="G153" s="12">
        <v>9</v>
      </c>
      <c r="H153" s="14">
        <v>834.17200706027995</v>
      </c>
      <c r="I153" s="15">
        <v>3367.6770648956299</v>
      </c>
      <c r="J153" s="16" t="s">
        <v>333</v>
      </c>
      <c r="N153" s="12"/>
    </row>
    <row r="154" spans="1:14" hidden="1" x14ac:dyDescent="0.2">
      <c r="A154" s="11" t="s">
        <v>55</v>
      </c>
      <c r="B154" s="12" t="s">
        <v>36</v>
      </c>
      <c r="C154" s="12" t="s">
        <v>213</v>
      </c>
      <c r="D154" s="12">
        <v>50</v>
      </c>
      <c r="E154" s="12">
        <v>4</v>
      </c>
      <c r="F154" s="12">
        <v>2</v>
      </c>
      <c r="G154" s="12">
        <v>12</v>
      </c>
      <c r="H154" s="14">
        <v>927.16749168362298</v>
      </c>
      <c r="I154" s="15">
        <v>3373.9906837940198</v>
      </c>
      <c r="J154" s="16" t="s">
        <v>333</v>
      </c>
      <c r="N154" s="12"/>
    </row>
    <row r="155" spans="1:14" hidden="1" x14ac:dyDescent="0.2">
      <c r="A155" s="11" t="s">
        <v>35</v>
      </c>
      <c r="B155" s="12" t="s">
        <v>36</v>
      </c>
      <c r="C155" s="12" t="s">
        <v>215</v>
      </c>
      <c r="D155" s="12">
        <v>50</v>
      </c>
      <c r="E155" s="12">
        <v>7</v>
      </c>
      <c r="F155" s="12">
        <v>4</v>
      </c>
      <c r="G155" s="12">
        <v>9</v>
      </c>
      <c r="H155" s="14">
        <v>705.85673858062103</v>
      </c>
      <c r="I155" s="15">
        <v>9023.7926480770093</v>
      </c>
      <c r="J155" s="16" t="s">
        <v>333</v>
      </c>
      <c r="N155" s="12"/>
    </row>
    <row r="156" spans="1:14" hidden="1" x14ac:dyDescent="0.2">
      <c r="A156" s="11" t="s">
        <v>33</v>
      </c>
      <c r="B156" s="12" t="s">
        <v>36</v>
      </c>
      <c r="C156" s="12" t="s">
        <v>217</v>
      </c>
      <c r="D156" s="12">
        <v>50</v>
      </c>
      <c r="E156" s="12">
        <v>9</v>
      </c>
      <c r="F156" s="12">
        <v>5</v>
      </c>
      <c r="G156" s="12">
        <v>10</v>
      </c>
      <c r="H156" s="14">
        <v>806.74999695620295</v>
      </c>
      <c r="I156" s="15">
        <v>2046.40233707427</v>
      </c>
      <c r="J156" s="16" t="s">
        <v>333</v>
      </c>
      <c r="N156" s="12"/>
    </row>
    <row r="157" spans="1:14" hidden="1" x14ac:dyDescent="0.2">
      <c r="A157" s="11" t="s">
        <v>33</v>
      </c>
      <c r="B157" s="12" t="s">
        <v>36</v>
      </c>
      <c r="C157" s="12" t="s">
        <v>219</v>
      </c>
      <c r="D157" s="12">
        <v>50</v>
      </c>
      <c r="E157" s="12">
        <v>4</v>
      </c>
      <c r="F157" s="12">
        <v>2</v>
      </c>
      <c r="G157" s="12">
        <v>12</v>
      </c>
      <c r="H157" s="14">
        <v>863.44330608101495</v>
      </c>
      <c r="I157" s="15">
        <v>2373.0962421894001</v>
      </c>
      <c r="J157" s="16" t="s">
        <v>333</v>
      </c>
      <c r="N157" s="12"/>
    </row>
    <row r="158" spans="1:14" hidden="1" x14ac:dyDescent="0.2">
      <c r="A158" s="11" t="s">
        <v>33</v>
      </c>
      <c r="B158" s="12" t="s">
        <v>36</v>
      </c>
      <c r="C158" s="12" t="s">
        <v>221</v>
      </c>
      <c r="D158" s="12">
        <v>50</v>
      </c>
      <c r="E158" s="12">
        <v>7</v>
      </c>
      <c r="F158" s="12">
        <v>4</v>
      </c>
      <c r="G158" s="12">
        <v>9</v>
      </c>
      <c r="H158" s="14">
        <v>732.07830938304699</v>
      </c>
      <c r="I158" s="15">
        <v>1545.4818999767299</v>
      </c>
      <c r="J158" s="16" t="s">
        <v>333</v>
      </c>
      <c r="N158" s="12"/>
    </row>
    <row r="159" spans="1:14" hidden="1" x14ac:dyDescent="0.2">
      <c r="A159" s="11" t="s">
        <v>33</v>
      </c>
      <c r="B159" s="12" t="s">
        <v>36</v>
      </c>
      <c r="C159" s="12" t="s">
        <v>223</v>
      </c>
      <c r="D159" s="12">
        <v>50</v>
      </c>
      <c r="E159" s="12">
        <v>9</v>
      </c>
      <c r="F159" s="12">
        <v>5</v>
      </c>
      <c r="G159" s="12">
        <v>9</v>
      </c>
      <c r="H159" s="14">
        <v>748.647066775697</v>
      </c>
      <c r="I159" s="15">
        <v>1161.4892802238401</v>
      </c>
      <c r="J159" s="16" t="s">
        <v>333</v>
      </c>
      <c r="N159" s="12"/>
    </row>
    <row r="160" spans="1:14" hidden="1" x14ac:dyDescent="0.2">
      <c r="A160" s="11" t="s">
        <v>55</v>
      </c>
      <c r="B160" s="12" t="s">
        <v>36</v>
      </c>
      <c r="C160" s="12" t="s">
        <v>225</v>
      </c>
      <c r="D160" s="12">
        <v>50</v>
      </c>
      <c r="E160" s="12">
        <v>4</v>
      </c>
      <c r="F160" s="12">
        <v>2</v>
      </c>
      <c r="G160" s="12">
        <v>11</v>
      </c>
      <c r="H160" s="14">
        <v>857.03541608793603</v>
      </c>
      <c r="I160" s="15">
        <v>527.14911293983403</v>
      </c>
      <c r="J160" s="16" t="s">
        <v>333</v>
      </c>
      <c r="N160" s="12"/>
    </row>
    <row r="161" spans="1:14" hidden="1" x14ac:dyDescent="0.2">
      <c r="A161" s="11" t="s">
        <v>56</v>
      </c>
      <c r="B161" s="12" t="s">
        <v>36</v>
      </c>
      <c r="C161" s="12" t="s">
        <v>226</v>
      </c>
      <c r="D161" s="12">
        <v>50</v>
      </c>
      <c r="E161" s="12">
        <v>7</v>
      </c>
      <c r="F161" s="12">
        <v>4</v>
      </c>
      <c r="G161" s="12">
        <v>9</v>
      </c>
      <c r="H161" s="14">
        <v>728.449915009915</v>
      </c>
      <c r="I161" s="15">
        <v>660.80245089530899</v>
      </c>
      <c r="J161" s="16" t="s">
        <v>333</v>
      </c>
      <c r="N161" s="12"/>
    </row>
    <row r="162" spans="1:14" hidden="1" x14ac:dyDescent="0.2">
      <c r="A162" s="11"/>
      <c r="B162" s="12" t="s">
        <v>36</v>
      </c>
      <c r="C162" s="12" t="s">
        <v>228</v>
      </c>
      <c r="D162" s="12">
        <v>50</v>
      </c>
      <c r="E162" s="12">
        <v>9</v>
      </c>
      <c r="F162" s="12">
        <v>5</v>
      </c>
      <c r="G162" s="12">
        <v>9</v>
      </c>
      <c r="H162" s="14">
        <v>788.15119748953202</v>
      </c>
      <c r="I162" s="15">
        <v>1750.2049479484499</v>
      </c>
      <c r="J162" s="16" t="s">
        <v>333</v>
      </c>
      <c r="N162" s="12"/>
    </row>
    <row r="163" spans="1:14" hidden="1" x14ac:dyDescent="0.2">
      <c r="A163" s="11" t="s">
        <v>33</v>
      </c>
      <c r="B163" s="12" t="s">
        <v>36</v>
      </c>
      <c r="C163" s="12" t="s">
        <v>231</v>
      </c>
      <c r="D163" s="12">
        <v>50</v>
      </c>
      <c r="E163" s="12">
        <v>7</v>
      </c>
      <c r="F163" s="12">
        <v>4</v>
      </c>
      <c r="G163" s="12">
        <v>9</v>
      </c>
      <c r="H163" s="14"/>
      <c r="I163" s="15"/>
      <c r="J163" s="16"/>
      <c r="N163" s="12"/>
    </row>
    <row r="164" spans="1:14" hidden="1" x14ac:dyDescent="0.2">
      <c r="A164" s="11" t="s">
        <v>33</v>
      </c>
      <c r="B164" s="12" t="s">
        <v>36</v>
      </c>
      <c r="C164" s="12" t="s">
        <v>232</v>
      </c>
      <c r="D164" s="12">
        <v>50</v>
      </c>
      <c r="E164" s="12">
        <v>9</v>
      </c>
      <c r="F164" s="12">
        <v>5</v>
      </c>
      <c r="G164" s="12">
        <v>9</v>
      </c>
      <c r="H164" s="14">
        <v>830.03670880444804</v>
      </c>
      <c r="I164" s="15">
        <v>10860.642719984</v>
      </c>
      <c r="J164" s="16">
        <v>1.9356488271852899E-2</v>
      </c>
      <c r="N164" s="12"/>
    </row>
    <row r="165" spans="1:14" hidden="1" x14ac:dyDescent="0.2">
      <c r="A165" s="11" t="s">
        <v>56</v>
      </c>
      <c r="B165" s="12" t="s">
        <v>36</v>
      </c>
      <c r="C165" s="12" t="s">
        <v>235</v>
      </c>
      <c r="D165" s="12">
        <v>50</v>
      </c>
      <c r="E165" s="12">
        <v>4</v>
      </c>
      <c r="F165" s="12">
        <v>2</v>
      </c>
      <c r="G165" s="12">
        <v>10</v>
      </c>
      <c r="H165" s="14"/>
      <c r="I165" s="15"/>
      <c r="J165" s="16"/>
      <c r="N165" s="12"/>
    </row>
    <row r="166" spans="1:14" hidden="1" x14ac:dyDescent="0.2">
      <c r="A166" s="11" t="s">
        <v>56</v>
      </c>
      <c r="B166" s="12" t="s">
        <v>36</v>
      </c>
      <c r="C166" s="12" t="s">
        <v>237</v>
      </c>
      <c r="D166" s="12">
        <v>50</v>
      </c>
      <c r="E166" s="12">
        <v>7</v>
      </c>
      <c r="F166" s="12">
        <v>4</v>
      </c>
      <c r="G166" s="12">
        <v>10</v>
      </c>
      <c r="H166" s="14">
        <v>766.43645298435899</v>
      </c>
      <c r="I166" s="15">
        <v>7681.0670759677796</v>
      </c>
      <c r="J166" s="16" t="s">
        <v>333</v>
      </c>
      <c r="N166" s="12"/>
    </row>
    <row r="167" spans="1:14" hidden="1" x14ac:dyDescent="0.2">
      <c r="A167" s="11" t="s">
        <v>56</v>
      </c>
      <c r="B167" s="12" t="s">
        <v>36</v>
      </c>
      <c r="C167" s="12" t="s">
        <v>240</v>
      </c>
      <c r="D167" s="12">
        <v>50</v>
      </c>
      <c r="E167" s="12">
        <v>9</v>
      </c>
      <c r="F167" s="12">
        <v>5</v>
      </c>
      <c r="G167" s="12">
        <v>10</v>
      </c>
      <c r="H167" s="14">
        <v>766.43645298435899</v>
      </c>
      <c r="I167" s="15">
        <v>7681.0670759677796</v>
      </c>
      <c r="J167" s="16" t="s">
        <v>333</v>
      </c>
      <c r="N167" s="12"/>
    </row>
    <row r="168" spans="1:14" hidden="1" x14ac:dyDescent="0.2">
      <c r="A168" s="11" t="s">
        <v>56</v>
      </c>
      <c r="B168" s="12" t="s">
        <v>36</v>
      </c>
      <c r="C168" s="12" t="s">
        <v>241</v>
      </c>
      <c r="D168" s="12">
        <v>50</v>
      </c>
      <c r="E168" s="12">
        <v>4</v>
      </c>
      <c r="F168" s="12">
        <v>2</v>
      </c>
      <c r="G168" s="12">
        <v>12</v>
      </c>
      <c r="H168" s="14"/>
      <c r="I168" s="15"/>
      <c r="J168" s="16"/>
      <c r="N168" s="12"/>
    </row>
    <row r="169" spans="1:14" hidden="1" x14ac:dyDescent="0.2">
      <c r="A169" s="11"/>
      <c r="B169" s="12" t="s">
        <v>36</v>
      </c>
      <c r="C169" s="12" t="s">
        <v>243</v>
      </c>
      <c r="D169" s="12">
        <v>50</v>
      </c>
      <c r="E169" s="12">
        <v>7</v>
      </c>
      <c r="F169" s="12">
        <v>4</v>
      </c>
      <c r="G169" s="12">
        <v>10</v>
      </c>
      <c r="H169" s="14"/>
      <c r="I169" s="15"/>
      <c r="J169" s="16"/>
      <c r="N169" s="12"/>
    </row>
    <row r="170" spans="1:14" hidden="1" x14ac:dyDescent="0.2">
      <c r="A170" s="11" t="s">
        <v>126</v>
      </c>
      <c r="B170" s="12" t="s">
        <v>36</v>
      </c>
      <c r="C170" s="12" t="s">
        <v>244</v>
      </c>
      <c r="D170" s="12">
        <v>50</v>
      </c>
      <c r="E170" s="12">
        <v>9</v>
      </c>
      <c r="F170" s="12">
        <v>5</v>
      </c>
      <c r="G170" s="12">
        <v>9</v>
      </c>
      <c r="H170" s="14"/>
      <c r="I170" s="15"/>
      <c r="J170" s="16"/>
      <c r="N170" s="12"/>
    </row>
    <row r="171" spans="1:14" hidden="1" x14ac:dyDescent="0.2">
      <c r="A171" s="11" t="s">
        <v>56</v>
      </c>
      <c r="B171" s="12" t="s">
        <v>36</v>
      </c>
      <c r="C171" s="12" t="s">
        <v>245</v>
      </c>
      <c r="D171" s="12">
        <v>50</v>
      </c>
      <c r="E171" s="12">
        <v>4</v>
      </c>
      <c r="F171" s="12">
        <v>2</v>
      </c>
      <c r="G171" s="12">
        <v>11</v>
      </c>
      <c r="H171" s="14"/>
      <c r="I171" s="15"/>
      <c r="J171" s="16"/>
      <c r="N171" s="12"/>
    </row>
    <row r="172" spans="1:14" hidden="1" x14ac:dyDescent="0.2">
      <c r="A172" s="11" t="s">
        <v>129</v>
      </c>
      <c r="B172" s="12" t="s">
        <v>36</v>
      </c>
      <c r="C172" s="12" t="s">
        <v>247</v>
      </c>
      <c r="D172" s="12">
        <v>50</v>
      </c>
      <c r="E172" s="12">
        <v>7</v>
      </c>
      <c r="F172" s="12">
        <v>4</v>
      </c>
      <c r="G172" s="12">
        <v>10</v>
      </c>
      <c r="H172" s="14"/>
      <c r="I172" s="15"/>
      <c r="J172" s="16"/>
      <c r="N172" s="12"/>
    </row>
    <row r="173" spans="1:14" hidden="1" x14ac:dyDescent="0.2">
      <c r="A173" s="11" t="s">
        <v>35</v>
      </c>
      <c r="B173" s="12" t="s">
        <v>36</v>
      </c>
      <c r="C173" s="12" t="s">
        <v>249</v>
      </c>
      <c r="D173" s="12">
        <v>50</v>
      </c>
      <c r="E173" s="12">
        <v>9</v>
      </c>
      <c r="F173" s="12">
        <v>5</v>
      </c>
      <c r="G173" s="12">
        <v>9</v>
      </c>
      <c r="H173" s="14">
        <v>775.23151583494302</v>
      </c>
      <c r="I173" s="15">
        <v>10844.6873779296</v>
      </c>
      <c r="J173" s="16">
        <v>5.2736127345604303E-3</v>
      </c>
      <c r="N173" s="12"/>
    </row>
    <row r="174" spans="1:14" hidden="1" x14ac:dyDescent="0.2">
      <c r="A174" s="11" t="s">
        <v>37</v>
      </c>
      <c r="B174" s="12" t="s">
        <v>36</v>
      </c>
      <c r="C174" s="12" t="s">
        <v>251</v>
      </c>
      <c r="D174" s="12">
        <v>50</v>
      </c>
      <c r="E174" s="12">
        <v>4</v>
      </c>
      <c r="F174" s="12">
        <v>2</v>
      </c>
      <c r="G174" s="12">
        <v>11</v>
      </c>
      <c r="H174" s="14"/>
      <c r="I174" s="15"/>
      <c r="J174" s="16"/>
      <c r="N174" s="12"/>
    </row>
    <row r="175" spans="1:14" hidden="1" x14ac:dyDescent="0.2">
      <c r="A175" s="11" t="s">
        <v>37</v>
      </c>
      <c r="B175" s="12" t="s">
        <v>36</v>
      </c>
      <c r="C175" s="12" t="s">
        <v>253</v>
      </c>
      <c r="D175" s="12">
        <v>50</v>
      </c>
      <c r="E175" s="12">
        <v>7</v>
      </c>
      <c r="F175" s="12">
        <v>4</v>
      </c>
      <c r="G175" s="12">
        <v>9</v>
      </c>
      <c r="H175" s="14">
        <v>742.21627896121799</v>
      </c>
      <c r="I175" s="15">
        <v>10850.8231558799</v>
      </c>
      <c r="J175" s="16">
        <v>1.6734873042971301E-2</v>
      </c>
      <c r="N175" s="12"/>
    </row>
    <row r="176" spans="1:14" hidden="1" x14ac:dyDescent="0.2">
      <c r="A176" s="11" t="s">
        <v>35</v>
      </c>
      <c r="B176" s="12" t="s">
        <v>36</v>
      </c>
      <c r="C176" s="12" t="s">
        <v>255</v>
      </c>
      <c r="D176" s="12">
        <v>50</v>
      </c>
      <c r="E176" s="12">
        <v>9</v>
      </c>
      <c r="F176" s="12">
        <v>5</v>
      </c>
      <c r="G176" s="12">
        <v>9</v>
      </c>
      <c r="H176" s="14"/>
      <c r="I176" s="15"/>
      <c r="J176" s="16"/>
      <c r="N176" s="12"/>
    </row>
    <row r="177" spans="1:14" hidden="1" x14ac:dyDescent="0.2">
      <c r="A177" s="11" t="s">
        <v>137</v>
      </c>
      <c r="B177" s="12" t="s">
        <v>36</v>
      </c>
      <c r="C177" s="12" t="s">
        <v>257</v>
      </c>
      <c r="D177" s="12">
        <v>50</v>
      </c>
      <c r="E177" s="12">
        <v>4</v>
      </c>
      <c r="F177" s="12">
        <v>2</v>
      </c>
      <c r="G177" s="12">
        <v>11</v>
      </c>
      <c r="H177" s="14">
        <v>830.37386602143704</v>
      </c>
      <c r="I177" s="15">
        <v>4612.5379860401099</v>
      </c>
      <c r="J177" s="16" t="s">
        <v>333</v>
      </c>
      <c r="N177" s="12"/>
    </row>
    <row r="178" spans="1:14" hidden="1" x14ac:dyDescent="0.2">
      <c r="A178" s="11" t="s">
        <v>37</v>
      </c>
      <c r="B178" s="12" t="s">
        <v>36</v>
      </c>
      <c r="C178" s="12" t="s">
        <v>260</v>
      </c>
      <c r="D178" s="12">
        <v>50</v>
      </c>
      <c r="E178" s="12">
        <v>7</v>
      </c>
      <c r="F178" s="12">
        <v>4</v>
      </c>
      <c r="G178" s="12">
        <v>9</v>
      </c>
      <c r="H178" s="14">
        <v>727.87701481212105</v>
      </c>
      <c r="I178" s="15">
        <v>10870.2132921218</v>
      </c>
      <c r="J178" s="16">
        <v>1.6361914872430001E-2</v>
      </c>
      <c r="N178" s="12"/>
    </row>
    <row r="179" spans="1:14" hidden="1" x14ac:dyDescent="0.2">
      <c r="A179" s="11" t="s">
        <v>35</v>
      </c>
      <c r="B179" s="12" t="s">
        <v>36</v>
      </c>
      <c r="C179" s="12" t="s">
        <v>261</v>
      </c>
      <c r="D179" s="12">
        <v>50</v>
      </c>
      <c r="E179" s="12">
        <v>9</v>
      </c>
      <c r="F179" s="12">
        <v>5</v>
      </c>
      <c r="G179" s="12">
        <v>9</v>
      </c>
      <c r="H179" s="14">
        <v>777.35904830291997</v>
      </c>
      <c r="I179" s="15">
        <v>10864.712709903701</v>
      </c>
      <c r="J179" s="16">
        <v>8.5839865922280097E-3</v>
      </c>
      <c r="N179" s="12"/>
    </row>
    <row r="180" spans="1:14" hidden="1" x14ac:dyDescent="0.2">
      <c r="A180" s="11"/>
      <c r="B180" s="12" t="s">
        <v>36</v>
      </c>
      <c r="C180" s="12" t="s">
        <v>262</v>
      </c>
      <c r="D180" s="12">
        <v>50</v>
      </c>
      <c r="E180" s="12">
        <v>4</v>
      </c>
      <c r="F180" s="12">
        <v>2</v>
      </c>
      <c r="G180" s="12">
        <v>11</v>
      </c>
      <c r="H180" s="14">
        <v>869.40557456218698</v>
      </c>
      <c r="I180" s="15">
        <v>10861.0894441604</v>
      </c>
      <c r="J180" s="16">
        <v>8.4191697324450896E-3</v>
      </c>
      <c r="N180" s="12"/>
    </row>
    <row r="181" spans="1:14" hidden="1" x14ac:dyDescent="0.2">
      <c r="A181" s="11" t="s">
        <v>37</v>
      </c>
      <c r="B181" s="12" t="s">
        <v>36</v>
      </c>
      <c r="C181" s="12" t="s">
        <v>263</v>
      </c>
      <c r="D181" s="12">
        <v>50</v>
      </c>
      <c r="E181" s="12">
        <v>7</v>
      </c>
      <c r="F181" s="12">
        <v>4</v>
      </c>
      <c r="G181" s="12">
        <v>10</v>
      </c>
      <c r="H181" s="14">
        <v>720.65131037196397</v>
      </c>
      <c r="I181" s="15">
        <v>10858.661788940401</v>
      </c>
      <c r="J181" s="16">
        <v>7.19393657659371E-3</v>
      </c>
      <c r="N181" s="12"/>
    </row>
    <row r="182" spans="1:14" hidden="1" x14ac:dyDescent="0.2">
      <c r="A182" s="11" t="s">
        <v>56</v>
      </c>
      <c r="B182" s="12" t="s">
        <v>36</v>
      </c>
      <c r="C182" s="12" t="s">
        <v>264</v>
      </c>
      <c r="D182" s="12">
        <v>50</v>
      </c>
      <c r="E182" s="12">
        <v>9</v>
      </c>
      <c r="F182" s="12">
        <v>5</v>
      </c>
      <c r="G182" s="12">
        <v>9</v>
      </c>
      <c r="H182" s="14">
        <v>784.99737917583798</v>
      </c>
      <c r="I182" s="15">
        <v>10857.979805946299</v>
      </c>
      <c r="J182" s="16">
        <v>8.1856986615562195E-3</v>
      </c>
      <c r="N182" s="12"/>
    </row>
    <row r="183" spans="1:14" hidden="1" x14ac:dyDescent="0.2">
      <c r="A183" s="11" t="s">
        <v>35</v>
      </c>
      <c r="B183" s="12" t="s">
        <v>36</v>
      </c>
      <c r="C183" s="12" t="s">
        <v>265</v>
      </c>
      <c r="D183" s="12">
        <v>50</v>
      </c>
      <c r="E183" s="12">
        <v>7</v>
      </c>
      <c r="F183" s="12">
        <v>4</v>
      </c>
      <c r="G183" s="12">
        <v>10</v>
      </c>
      <c r="H183" s="14">
        <v>703.13046942794199</v>
      </c>
      <c r="I183" s="15">
        <v>10853.407050132701</v>
      </c>
      <c r="J183" s="16">
        <v>1.03060828042903E-2</v>
      </c>
      <c r="N183" s="12"/>
    </row>
    <row r="184" spans="1:14" hidden="1" x14ac:dyDescent="0.2">
      <c r="A184" s="11" t="s">
        <v>35</v>
      </c>
      <c r="B184" s="12" t="s">
        <v>36</v>
      </c>
      <c r="C184" s="12" t="s">
        <v>267</v>
      </c>
      <c r="D184" s="12">
        <v>50</v>
      </c>
      <c r="E184" s="12">
        <v>9</v>
      </c>
      <c r="F184" s="12">
        <v>5</v>
      </c>
      <c r="G184" s="12">
        <v>10</v>
      </c>
      <c r="H184" s="14">
        <v>786.50646648842906</v>
      </c>
      <c r="I184" s="15">
        <v>10854.107897996901</v>
      </c>
      <c r="J184" s="16">
        <v>5.0278157753735802E-3</v>
      </c>
      <c r="N184" s="12"/>
    </row>
    <row r="185" spans="1:14" hidden="1" x14ac:dyDescent="0.2">
      <c r="A185" s="11" t="s">
        <v>146</v>
      </c>
      <c r="B185" s="12" t="s">
        <v>36</v>
      </c>
      <c r="C185" s="12" t="s">
        <v>268</v>
      </c>
      <c r="D185" s="12">
        <v>50</v>
      </c>
      <c r="E185" s="12">
        <v>4</v>
      </c>
      <c r="F185" s="12">
        <v>2</v>
      </c>
      <c r="G185" s="12">
        <v>11</v>
      </c>
      <c r="H185" s="14">
        <v>851.42290134830898</v>
      </c>
      <c r="I185" s="15">
        <v>10861.7413940429</v>
      </c>
      <c r="J185" s="16">
        <v>1.0270333902854799E-2</v>
      </c>
      <c r="N185" s="12"/>
    </row>
    <row r="186" spans="1:14" hidden="1" x14ac:dyDescent="0.2">
      <c r="A186" s="11" t="s">
        <v>56</v>
      </c>
      <c r="B186" s="12" t="s">
        <v>36</v>
      </c>
      <c r="C186" s="12" t="s">
        <v>270</v>
      </c>
      <c r="D186" s="12">
        <v>50</v>
      </c>
      <c r="E186" s="12">
        <v>7</v>
      </c>
      <c r="F186" s="12">
        <v>4</v>
      </c>
      <c r="G186" s="12">
        <v>10</v>
      </c>
      <c r="H186" s="14">
        <v>743.23304076327395</v>
      </c>
      <c r="I186" s="15">
        <v>10858.958662986701</v>
      </c>
      <c r="J186" s="19">
        <v>2.0966399499482702E-3</v>
      </c>
      <c r="N186" s="12"/>
    </row>
    <row r="187" spans="1:14" hidden="1" x14ac:dyDescent="0.2">
      <c r="A187" s="11" t="s">
        <v>37</v>
      </c>
      <c r="B187" s="12" t="s">
        <v>36</v>
      </c>
      <c r="C187" s="12" t="s">
        <v>271</v>
      </c>
      <c r="D187" s="12">
        <v>50</v>
      </c>
      <c r="E187" s="12">
        <v>9</v>
      </c>
      <c r="F187" s="12">
        <v>5</v>
      </c>
      <c r="G187" s="12">
        <v>9</v>
      </c>
      <c r="H187" s="14">
        <v>714.38464263870696</v>
      </c>
      <c r="I187" s="15">
        <v>2370.1950340270901</v>
      </c>
      <c r="J187" s="16" t="s">
        <v>333</v>
      </c>
      <c r="N187" s="12"/>
    </row>
    <row r="188" spans="1:14" hidden="1" x14ac:dyDescent="0.2">
      <c r="A188" s="11" t="s">
        <v>55</v>
      </c>
      <c r="B188" s="12" t="s">
        <v>36</v>
      </c>
      <c r="C188" s="12" t="s">
        <v>273</v>
      </c>
      <c r="D188" s="12">
        <v>50</v>
      </c>
      <c r="E188" s="12">
        <v>4</v>
      </c>
      <c r="F188" s="12">
        <v>2</v>
      </c>
      <c r="G188" s="12">
        <v>11</v>
      </c>
      <c r="H188" s="14"/>
      <c r="I188" s="15"/>
      <c r="J188" s="16"/>
      <c r="N188" s="12"/>
    </row>
    <row r="189" spans="1:14" hidden="1" x14ac:dyDescent="0.2">
      <c r="A189" s="11" t="s">
        <v>55</v>
      </c>
      <c r="B189" s="12" t="s">
        <v>36</v>
      </c>
      <c r="C189" s="12" t="s">
        <v>275</v>
      </c>
      <c r="D189" s="12">
        <v>50</v>
      </c>
      <c r="E189" s="12">
        <v>7</v>
      </c>
      <c r="F189" s="12">
        <v>4</v>
      </c>
      <c r="G189" s="12">
        <v>10</v>
      </c>
      <c r="H189" s="14"/>
      <c r="I189" s="15"/>
      <c r="J189" s="16"/>
      <c r="N189" s="12"/>
    </row>
    <row r="190" spans="1:14" hidden="1" x14ac:dyDescent="0.2">
      <c r="A190" s="11" t="s">
        <v>35</v>
      </c>
      <c r="B190" s="12" t="s">
        <v>36</v>
      </c>
      <c r="C190" s="12" t="s">
        <v>277</v>
      </c>
      <c r="D190" s="12">
        <v>50</v>
      </c>
      <c r="E190" s="12">
        <v>9</v>
      </c>
      <c r="F190" s="12">
        <v>5</v>
      </c>
      <c r="G190" s="12">
        <v>10</v>
      </c>
      <c r="H190" s="14">
        <v>867.85162293979795</v>
      </c>
      <c r="I190" s="15">
        <v>10861.4960589408</v>
      </c>
      <c r="J190" s="16">
        <v>1.5825311950689699E-2</v>
      </c>
      <c r="N190" s="12"/>
    </row>
    <row r="191" spans="1:14" hidden="1" x14ac:dyDescent="0.2">
      <c r="A191" s="11" t="s">
        <v>55</v>
      </c>
      <c r="B191" s="12" t="s">
        <v>36</v>
      </c>
      <c r="C191" s="12" t="s">
        <v>278</v>
      </c>
      <c r="D191" s="12">
        <v>50</v>
      </c>
      <c r="E191" s="12">
        <v>4</v>
      </c>
      <c r="F191" s="12">
        <v>2</v>
      </c>
      <c r="G191" s="12">
        <v>11</v>
      </c>
      <c r="H191" s="14">
        <v>858.58239070955904</v>
      </c>
      <c r="I191" s="15">
        <v>330.84212398529002</v>
      </c>
      <c r="J191" s="16" t="s">
        <v>333</v>
      </c>
      <c r="N191" s="12"/>
    </row>
    <row r="192" spans="1:14" hidden="1" x14ac:dyDescent="0.2">
      <c r="A192" s="11" t="s">
        <v>37</v>
      </c>
      <c r="B192" s="12" t="s">
        <v>36</v>
      </c>
      <c r="C192" s="12" t="s">
        <v>279</v>
      </c>
      <c r="D192" s="12">
        <v>50</v>
      </c>
      <c r="E192" s="12">
        <v>7</v>
      </c>
      <c r="F192" s="12">
        <v>4</v>
      </c>
      <c r="G192" s="12">
        <v>9</v>
      </c>
      <c r="H192" s="14">
        <v>733.04338323688103</v>
      </c>
      <c r="I192" s="15">
        <v>939.63958406448296</v>
      </c>
      <c r="J192" s="16" t="s">
        <v>333</v>
      </c>
      <c r="N192" s="12"/>
    </row>
    <row r="193" spans="1:14" hidden="1" x14ac:dyDescent="0.2">
      <c r="A193" s="11" t="s">
        <v>55</v>
      </c>
      <c r="B193" s="12" t="s">
        <v>36</v>
      </c>
      <c r="C193" s="12" t="s">
        <v>280</v>
      </c>
      <c r="D193" s="12">
        <v>50</v>
      </c>
      <c r="E193" s="12">
        <v>9</v>
      </c>
      <c r="F193" s="12">
        <v>5</v>
      </c>
      <c r="G193" s="12">
        <v>9</v>
      </c>
      <c r="H193" s="14">
        <v>798.30697006622597</v>
      </c>
      <c r="I193" s="15">
        <v>2034.76412606239</v>
      </c>
      <c r="J193" s="16" t="s">
        <v>333</v>
      </c>
      <c r="N193" s="12"/>
    </row>
    <row r="194" spans="1:14" hidden="1" x14ac:dyDescent="0.2">
      <c r="A194" s="11" t="s">
        <v>56</v>
      </c>
      <c r="B194" s="12" t="s">
        <v>36</v>
      </c>
      <c r="C194" s="12" t="s">
        <v>282</v>
      </c>
      <c r="D194" s="12">
        <v>50</v>
      </c>
      <c r="E194" s="12">
        <v>4</v>
      </c>
      <c r="F194" s="12">
        <v>2</v>
      </c>
      <c r="G194" s="12">
        <v>12</v>
      </c>
      <c r="H194" s="14">
        <v>945.78127214580604</v>
      </c>
      <c r="I194" s="15">
        <v>2725.0234570503198</v>
      </c>
      <c r="J194" s="16" t="s">
        <v>333</v>
      </c>
      <c r="N194" s="12"/>
    </row>
    <row r="195" spans="1:14" hidden="1" x14ac:dyDescent="0.2">
      <c r="A195" s="11" t="s">
        <v>35</v>
      </c>
      <c r="B195" s="12" t="s">
        <v>36</v>
      </c>
      <c r="C195" s="12" t="s">
        <v>285</v>
      </c>
      <c r="D195" s="12">
        <v>50</v>
      </c>
      <c r="E195" s="12">
        <v>7</v>
      </c>
      <c r="F195" s="12">
        <v>4</v>
      </c>
      <c r="G195" s="12">
        <v>10</v>
      </c>
      <c r="H195" s="14">
        <v>733.06895306761999</v>
      </c>
      <c r="I195" s="15">
        <v>811.87049007415703</v>
      </c>
      <c r="J195" s="16" t="s">
        <v>333</v>
      </c>
      <c r="N195" s="12"/>
    </row>
    <row r="196" spans="1:14" hidden="1" x14ac:dyDescent="0.2">
      <c r="A196" s="11" t="s">
        <v>56</v>
      </c>
      <c r="B196" s="12" t="s">
        <v>36</v>
      </c>
      <c r="C196" s="12" t="s">
        <v>288</v>
      </c>
      <c r="D196" s="12">
        <v>50</v>
      </c>
      <c r="E196" s="12">
        <v>9</v>
      </c>
      <c r="F196" s="12">
        <v>5</v>
      </c>
      <c r="G196" s="12">
        <v>9</v>
      </c>
      <c r="H196" s="14">
        <v>807.51376366171201</v>
      </c>
      <c r="I196" s="15">
        <v>960.08510494232098</v>
      </c>
      <c r="J196" s="16" t="s">
        <v>333</v>
      </c>
      <c r="N196" s="12"/>
    </row>
    <row r="197" spans="1:14" hidden="1" x14ac:dyDescent="0.2">
      <c r="A197" s="11" t="s">
        <v>56</v>
      </c>
      <c r="B197" s="12" t="s">
        <v>36</v>
      </c>
      <c r="C197" s="12" t="s">
        <v>289</v>
      </c>
      <c r="D197" s="12">
        <v>50</v>
      </c>
      <c r="E197" s="12">
        <v>4</v>
      </c>
      <c r="F197" s="12">
        <v>2</v>
      </c>
      <c r="G197" s="12">
        <v>12</v>
      </c>
      <c r="H197" s="14">
        <v>901.57075664049898</v>
      </c>
      <c r="I197" s="15">
        <v>269.081945896148</v>
      </c>
      <c r="J197" s="16" t="s">
        <v>333</v>
      </c>
      <c r="N197" s="12"/>
    </row>
    <row r="198" spans="1:14" hidden="1" x14ac:dyDescent="0.2">
      <c r="A198" s="11" t="s">
        <v>55</v>
      </c>
      <c r="B198" s="12" t="s">
        <v>36</v>
      </c>
      <c r="C198" s="12" t="s">
        <v>290</v>
      </c>
      <c r="D198" s="12">
        <v>50</v>
      </c>
      <c r="E198" s="12">
        <v>7</v>
      </c>
      <c r="F198" s="12">
        <v>4</v>
      </c>
      <c r="G198" s="12">
        <v>10</v>
      </c>
      <c r="H198" s="14">
        <v>734.73703566555196</v>
      </c>
      <c r="I198" s="15">
        <v>8350.5182831287293</v>
      </c>
      <c r="J198" s="16" t="s">
        <v>333</v>
      </c>
      <c r="N198" s="12"/>
    </row>
    <row r="199" spans="1:14" hidden="1" x14ac:dyDescent="0.2">
      <c r="A199" s="11" t="s">
        <v>55</v>
      </c>
      <c r="B199" s="12" t="s">
        <v>36</v>
      </c>
      <c r="C199" s="12" t="s">
        <v>292</v>
      </c>
      <c r="D199" s="12">
        <v>50</v>
      </c>
      <c r="E199" s="12">
        <v>9</v>
      </c>
      <c r="F199" s="12">
        <v>5</v>
      </c>
      <c r="G199" s="12">
        <v>10</v>
      </c>
      <c r="H199" s="14">
        <v>832.395891662743</v>
      </c>
      <c r="I199" s="15">
        <v>3122.68589711189</v>
      </c>
      <c r="J199" s="16" t="s">
        <v>333</v>
      </c>
      <c r="N199" s="12"/>
    </row>
    <row r="200" spans="1:14" hidden="1" x14ac:dyDescent="0.2">
      <c r="A200" s="11" t="s">
        <v>116</v>
      </c>
      <c r="B200" s="12" t="s">
        <v>36</v>
      </c>
      <c r="C200" s="12" t="s">
        <v>293</v>
      </c>
      <c r="D200" s="12">
        <v>50</v>
      </c>
      <c r="E200" s="12">
        <v>4</v>
      </c>
      <c r="F200" s="12">
        <v>2</v>
      </c>
      <c r="G200" s="12">
        <v>11</v>
      </c>
      <c r="H200" s="14">
        <v>855.00235402994701</v>
      </c>
      <c r="I200" s="15">
        <v>433.43918395042402</v>
      </c>
      <c r="J200" s="16" t="s">
        <v>333</v>
      </c>
      <c r="N200" s="12"/>
    </row>
    <row r="201" spans="1:14" hidden="1" x14ac:dyDescent="0.2">
      <c r="A201" s="11" t="s">
        <v>56</v>
      </c>
      <c r="B201" s="12" t="s">
        <v>36</v>
      </c>
      <c r="C201" s="12" t="s">
        <v>294</v>
      </c>
      <c r="D201" s="12">
        <v>50</v>
      </c>
      <c r="E201" s="12">
        <v>7</v>
      </c>
      <c r="F201" s="12">
        <v>4</v>
      </c>
      <c r="G201" s="12">
        <v>10</v>
      </c>
      <c r="H201" s="14">
        <v>743.55467547029104</v>
      </c>
      <c r="I201" s="15">
        <v>1763.02754712104</v>
      </c>
      <c r="J201" s="16" t="s">
        <v>333</v>
      </c>
      <c r="N201" s="12"/>
    </row>
    <row r="202" spans="1:14" hidden="1" x14ac:dyDescent="0.2">
      <c r="A202" s="11" t="s">
        <v>166</v>
      </c>
      <c r="B202" s="12" t="s">
        <v>36</v>
      </c>
      <c r="C202" s="12" t="s">
        <v>296</v>
      </c>
      <c r="D202" s="12">
        <v>50</v>
      </c>
      <c r="E202" s="12">
        <v>9</v>
      </c>
      <c r="F202" s="12">
        <v>5</v>
      </c>
      <c r="G202" s="12">
        <v>9</v>
      </c>
      <c r="H202" s="14">
        <v>753.50083965029</v>
      </c>
      <c r="I202" s="15">
        <v>1183.92414402961</v>
      </c>
      <c r="J202" s="16" t="s">
        <v>333</v>
      </c>
      <c r="N202" s="12"/>
    </row>
    <row r="203" spans="1:14" hidden="1" x14ac:dyDescent="0.2">
      <c r="A203" s="11" t="s">
        <v>55</v>
      </c>
      <c r="B203" s="12" t="s">
        <v>36</v>
      </c>
      <c r="C203" s="12" t="s">
        <v>297</v>
      </c>
      <c r="D203" s="12">
        <v>50</v>
      </c>
      <c r="E203" s="12">
        <v>4</v>
      </c>
      <c r="F203" s="12">
        <v>2</v>
      </c>
      <c r="G203" s="12">
        <v>12</v>
      </c>
      <c r="H203" s="14">
        <v>909.08900057300696</v>
      </c>
      <c r="I203" s="15">
        <v>448.077080011367</v>
      </c>
      <c r="J203" s="16" t="s">
        <v>333</v>
      </c>
      <c r="N203" s="12"/>
    </row>
    <row r="204" spans="1:14" hidden="1" x14ac:dyDescent="0.2">
      <c r="A204" s="11" t="s">
        <v>134</v>
      </c>
      <c r="B204" s="12" t="s">
        <v>36</v>
      </c>
      <c r="C204" s="12" t="s">
        <v>298</v>
      </c>
      <c r="D204" s="12">
        <v>50</v>
      </c>
      <c r="E204" s="12">
        <v>7</v>
      </c>
      <c r="F204" s="12">
        <v>4</v>
      </c>
      <c r="G204" s="12">
        <v>9</v>
      </c>
      <c r="H204" s="14">
        <v>730.028027536933</v>
      </c>
      <c r="I204" s="15">
        <v>2195.8224921226501</v>
      </c>
      <c r="J204" s="16" t="s">
        <v>333</v>
      </c>
      <c r="N204" s="12"/>
    </row>
    <row r="205" spans="1:14" hidden="1" x14ac:dyDescent="0.2">
      <c r="A205" s="11" t="s">
        <v>55</v>
      </c>
      <c r="B205" s="12" t="s">
        <v>36</v>
      </c>
      <c r="C205" s="12" t="s">
        <v>300</v>
      </c>
      <c r="D205" s="12">
        <v>50</v>
      </c>
      <c r="E205" s="12">
        <v>9</v>
      </c>
      <c r="F205" s="12">
        <v>5</v>
      </c>
      <c r="G205" s="12">
        <v>9</v>
      </c>
      <c r="H205" s="14">
        <v>833.30816974229901</v>
      </c>
      <c r="I205" s="15">
        <v>1033.7356500625599</v>
      </c>
      <c r="J205" s="16" t="s">
        <v>333</v>
      </c>
      <c r="N205" s="12"/>
    </row>
    <row r="206" spans="1:14" x14ac:dyDescent="0.2">
      <c r="A206" s="11" t="s">
        <v>55</v>
      </c>
      <c r="B206" s="12" t="s">
        <v>36</v>
      </c>
      <c r="C206" s="12" t="s">
        <v>301</v>
      </c>
      <c r="D206" s="12">
        <v>100</v>
      </c>
      <c r="E206" s="12">
        <v>4</v>
      </c>
      <c r="F206" s="12">
        <v>2</v>
      </c>
      <c r="G206" s="12">
        <v>24</v>
      </c>
      <c r="H206" s="14">
        <v>1519.2963371388701</v>
      </c>
      <c r="I206" s="15">
        <v>10857.4729509353</v>
      </c>
      <c r="J206" s="16">
        <v>2.2765417861357599E-2</v>
      </c>
      <c r="N206" s="12">
        <v>36.621197938919003</v>
      </c>
    </row>
    <row r="207" spans="1:14" x14ac:dyDescent="0.2">
      <c r="A207" s="11" t="s">
        <v>173</v>
      </c>
      <c r="B207" s="12" t="s">
        <v>36</v>
      </c>
      <c r="C207" s="12" t="s">
        <v>303</v>
      </c>
      <c r="D207" s="12">
        <v>100</v>
      </c>
      <c r="E207" s="12">
        <v>7</v>
      </c>
      <c r="F207" s="12">
        <v>4</v>
      </c>
      <c r="G207" s="12">
        <v>19</v>
      </c>
      <c r="H207" s="14">
        <v>1301.01377394886</v>
      </c>
      <c r="I207" s="15">
        <v>10853.863873004901</v>
      </c>
      <c r="J207" s="16">
        <v>5.5624871162716798E-2</v>
      </c>
      <c r="N207" s="12">
        <v>137.73685503005899</v>
      </c>
    </row>
    <row r="208" spans="1:14" x14ac:dyDescent="0.2">
      <c r="A208" s="11" t="s">
        <v>37</v>
      </c>
      <c r="B208" s="12" t="s">
        <v>36</v>
      </c>
      <c r="C208" s="12" t="s">
        <v>304</v>
      </c>
      <c r="D208" s="12">
        <v>100</v>
      </c>
      <c r="E208" s="12">
        <v>9</v>
      </c>
      <c r="F208" s="12">
        <v>5</v>
      </c>
      <c r="G208" s="12">
        <v>18</v>
      </c>
      <c r="H208" s="14">
        <v>1311.2865572998801</v>
      </c>
      <c r="I208" s="15">
        <v>10869.558829069099</v>
      </c>
      <c r="J208" s="16">
        <v>2.5912306387135799E-2</v>
      </c>
    </row>
    <row r="209" spans="1:10" x14ac:dyDescent="0.2">
      <c r="A209" s="11" t="s">
        <v>56</v>
      </c>
      <c r="B209" s="12" t="s">
        <v>36</v>
      </c>
      <c r="C209" s="12" t="s">
        <v>342</v>
      </c>
      <c r="D209" s="12">
        <v>100</v>
      </c>
      <c r="E209" s="12"/>
      <c r="F209" s="12"/>
      <c r="G209" s="12"/>
      <c r="H209" s="14"/>
      <c r="I209" s="15"/>
      <c r="J209" s="16"/>
    </row>
    <row r="210" spans="1:10" x14ac:dyDescent="0.2">
      <c r="A210" s="11" t="s">
        <v>55</v>
      </c>
      <c r="B210" s="12" t="s">
        <v>36</v>
      </c>
      <c r="C210" s="12" t="s">
        <v>305</v>
      </c>
      <c r="D210" s="12">
        <v>100</v>
      </c>
      <c r="E210" s="12">
        <v>7</v>
      </c>
      <c r="F210" s="12">
        <v>4</v>
      </c>
      <c r="G210" s="12">
        <v>19</v>
      </c>
      <c r="H210" s="14">
        <v>1225.90033313851</v>
      </c>
      <c r="I210" s="15">
        <v>10860.3614151477</v>
      </c>
      <c r="J210" s="16">
        <v>1.84092868074116E-2</v>
      </c>
    </row>
    <row r="211" spans="1:10" x14ac:dyDescent="0.2">
      <c r="A211" s="11" t="s">
        <v>35</v>
      </c>
      <c r="B211" s="12" t="s">
        <v>36</v>
      </c>
      <c r="C211" s="12" t="s">
        <v>306</v>
      </c>
      <c r="D211" s="12">
        <v>100</v>
      </c>
      <c r="E211" s="12">
        <v>9</v>
      </c>
      <c r="F211" s="12">
        <v>5</v>
      </c>
      <c r="G211" s="12">
        <v>17</v>
      </c>
      <c r="H211" s="14">
        <v>1341.94251645696</v>
      </c>
      <c r="I211" s="15">
        <v>10860.662622928599</v>
      </c>
      <c r="J211" s="16">
        <v>5.6250231110888199E-2</v>
      </c>
    </row>
    <row r="212" spans="1:10" x14ac:dyDescent="0.2">
      <c r="A212" s="11" t="s">
        <v>56</v>
      </c>
      <c r="B212" s="12" t="s">
        <v>36</v>
      </c>
      <c r="C212" s="12" t="s">
        <v>307</v>
      </c>
      <c r="D212" s="12">
        <v>100</v>
      </c>
      <c r="E212" s="12">
        <v>4</v>
      </c>
      <c r="F212" s="12">
        <v>2</v>
      </c>
      <c r="G212" s="12">
        <v>23</v>
      </c>
      <c r="H212" s="14">
        <v>1410.2532340129401</v>
      </c>
      <c r="I212" s="15">
        <v>10858.4033620357</v>
      </c>
      <c r="J212" s="16">
        <v>1.1626640230482601E-2</v>
      </c>
    </row>
    <row r="213" spans="1:10" x14ac:dyDescent="0.2">
      <c r="A213" s="11" t="s">
        <v>181</v>
      </c>
      <c r="B213" s="12" t="s">
        <v>36</v>
      </c>
      <c r="C213" s="12" t="s">
        <v>308</v>
      </c>
      <c r="D213" s="12">
        <v>100</v>
      </c>
      <c r="E213" s="12">
        <v>7</v>
      </c>
      <c r="F213" s="12">
        <v>4</v>
      </c>
      <c r="G213" s="12">
        <v>18</v>
      </c>
      <c r="H213" s="14">
        <v>1162.6395156494</v>
      </c>
      <c r="I213" s="15">
        <v>10860.5740749835</v>
      </c>
      <c r="J213" s="16">
        <v>3.3090067889906698E-2</v>
      </c>
    </row>
    <row r="214" spans="1:10" x14ac:dyDescent="0.2">
      <c r="A214" s="11" t="s">
        <v>134</v>
      </c>
      <c r="B214" s="12" t="s">
        <v>36</v>
      </c>
      <c r="C214" s="12" t="s">
        <v>309</v>
      </c>
      <c r="D214" s="12">
        <v>100</v>
      </c>
      <c r="E214" s="12">
        <v>9</v>
      </c>
      <c r="F214" s="12">
        <v>5</v>
      </c>
      <c r="G214" s="12">
        <v>19</v>
      </c>
      <c r="H214" s="14">
        <v>1433.7097665282899</v>
      </c>
      <c r="I214" s="15">
        <v>10861.3136360645</v>
      </c>
      <c r="J214" s="16">
        <v>4.0332861457469102E-2</v>
      </c>
    </row>
    <row r="215" spans="1:10" x14ac:dyDescent="0.2">
      <c r="A215" s="11" t="s">
        <v>56</v>
      </c>
      <c r="B215" s="12" t="s">
        <v>36</v>
      </c>
      <c r="C215" s="12" t="s">
        <v>310</v>
      </c>
      <c r="D215" s="12">
        <v>100</v>
      </c>
      <c r="E215" s="12">
        <v>4</v>
      </c>
      <c r="F215" s="12">
        <v>2</v>
      </c>
      <c r="G215" s="12">
        <v>24</v>
      </c>
      <c r="H215" s="14">
        <v>1629.60039437061</v>
      </c>
      <c r="I215" s="15">
        <v>10859.979112148199</v>
      </c>
      <c r="J215" s="16">
        <v>3.1452663575003897E-2</v>
      </c>
    </row>
    <row r="216" spans="1:10" x14ac:dyDescent="0.2">
      <c r="A216" s="11"/>
      <c r="B216" s="12" t="s">
        <v>36</v>
      </c>
      <c r="C216" s="12" t="s">
        <v>343</v>
      </c>
      <c r="D216" s="12">
        <v>100</v>
      </c>
      <c r="E216" s="12"/>
      <c r="F216" s="12"/>
      <c r="G216" s="12"/>
      <c r="H216" s="14"/>
      <c r="I216" s="15"/>
      <c r="J216" s="16"/>
    </row>
    <row r="217" spans="1:10" x14ac:dyDescent="0.2">
      <c r="A217" s="11" t="s">
        <v>35</v>
      </c>
      <c r="B217" s="12" t="s">
        <v>36</v>
      </c>
      <c r="C217" s="12" t="s">
        <v>344</v>
      </c>
      <c r="D217" s="12">
        <v>100</v>
      </c>
      <c r="E217" s="12"/>
      <c r="F217" s="12"/>
      <c r="G217" s="12"/>
      <c r="H217" s="14"/>
      <c r="I217" s="15"/>
      <c r="J217" s="16"/>
    </row>
    <row r="218" spans="1:10" x14ac:dyDescent="0.2">
      <c r="A218" s="11" t="s">
        <v>56</v>
      </c>
      <c r="B218" s="12" t="s">
        <v>36</v>
      </c>
      <c r="C218" s="12" t="s">
        <v>311</v>
      </c>
      <c r="D218" s="12">
        <v>100</v>
      </c>
      <c r="E218" s="12">
        <v>4</v>
      </c>
      <c r="F218" s="12">
        <v>2</v>
      </c>
      <c r="G218" s="12">
        <v>23</v>
      </c>
      <c r="H218" s="14">
        <v>1531.9661835542399</v>
      </c>
      <c r="I218" s="15">
        <v>10856.5133399963</v>
      </c>
      <c r="J218" s="16">
        <v>1.95873233596533E-2</v>
      </c>
    </row>
    <row r="219" spans="1:10" x14ac:dyDescent="0.2">
      <c r="A219" s="11" t="s">
        <v>56</v>
      </c>
      <c r="B219" s="12" t="s">
        <v>36</v>
      </c>
      <c r="C219" s="12" t="s">
        <v>312</v>
      </c>
      <c r="D219" s="12">
        <v>100</v>
      </c>
      <c r="E219" s="12">
        <v>7</v>
      </c>
      <c r="F219" s="12">
        <v>4</v>
      </c>
      <c r="G219" s="12">
        <v>19</v>
      </c>
      <c r="H219" s="14">
        <v>1231.9807991186999</v>
      </c>
      <c r="I219" s="15">
        <v>10866.255023956201</v>
      </c>
      <c r="J219" s="16">
        <v>2.0919355701597701E-2</v>
      </c>
    </row>
    <row r="220" spans="1:10" x14ac:dyDescent="0.2">
      <c r="A220" s="11" t="s">
        <v>134</v>
      </c>
      <c r="B220" s="12" t="s">
        <v>36</v>
      </c>
      <c r="C220" s="12" t="s">
        <v>313</v>
      </c>
      <c r="D220" s="12">
        <v>100</v>
      </c>
      <c r="E220" s="12">
        <v>9</v>
      </c>
      <c r="F220" s="12">
        <v>5</v>
      </c>
      <c r="G220" s="12">
        <v>19</v>
      </c>
      <c r="H220" s="14">
        <v>1316.94062201975</v>
      </c>
      <c r="I220" s="15">
        <v>10862.944630145999</v>
      </c>
      <c r="J220" s="16">
        <v>1.6815463223285799E-2</v>
      </c>
    </row>
    <row r="221" spans="1:10" x14ac:dyDescent="0.2">
      <c r="A221" s="11" t="s">
        <v>56</v>
      </c>
      <c r="B221" s="12" t="s">
        <v>36</v>
      </c>
      <c r="C221" s="12" t="s">
        <v>345</v>
      </c>
      <c r="D221" s="12">
        <v>100</v>
      </c>
      <c r="E221" s="12"/>
      <c r="F221" s="12"/>
      <c r="G221" s="12"/>
      <c r="H221" s="14"/>
      <c r="I221" s="15"/>
      <c r="J221" s="16"/>
    </row>
    <row r="222" spans="1:10" x14ac:dyDescent="0.2">
      <c r="A222" s="11" t="s">
        <v>55</v>
      </c>
      <c r="B222" s="12" t="s">
        <v>36</v>
      </c>
      <c r="C222" s="12" t="s">
        <v>340</v>
      </c>
      <c r="D222" s="12">
        <v>100</v>
      </c>
      <c r="E222" s="12"/>
      <c r="F222" s="12"/>
      <c r="G222" s="12"/>
      <c r="H222" s="14"/>
      <c r="I222" s="15"/>
      <c r="J222" s="16"/>
    </row>
    <row r="223" spans="1:10" x14ac:dyDescent="0.2">
      <c r="A223" s="11" t="s">
        <v>37</v>
      </c>
      <c r="B223" s="12" t="s">
        <v>36</v>
      </c>
      <c r="C223" s="12" t="s">
        <v>314</v>
      </c>
      <c r="D223" s="12">
        <v>100</v>
      </c>
      <c r="E223" s="12">
        <v>7</v>
      </c>
      <c r="F223" s="12">
        <v>4</v>
      </c>
      <c r="G223" s="12">
        <v>19</v>
      </c>
      <c r="H223" s="14">
        <v>1336.0724010315</v>
      </c>
      <c r="I223" s="15">
        <v>10861.8071100711</v>
      </c>
      <c r="J223" s="16">
        <v>7.2763140809999405E-2</v>
      </c>
    </row>
    <row r="224" spans="1:10" x14ac:dyDescent="0.2">
      <c r="A224" s="11" t="s">
        <v>55</v>
      </c>
      <c r="B224" s="12" t="s">
        <v>36</v>
      </c>
      <c r="C224" s="12" t="s">
        <v>346</v>
      </c>
      <c r="D224" s="12">
        <v>100</v>
      </c>
      <c r="E224" s="12"/>
      <c r="F224" s="12"/>
      <c r="G224" s="12"/>
      <c r="H224" s="14"/>
      <c r="I224" s="15"/>
      <c r="J224" s="16"/>
    </row>
    <row r="225" spans="1:10" x14ac:dyDescent="0.2">
      <c r="A225" s="11"/>
      <c r="B225" s="12" t="s">
        <v>36</v>
      </c>
      <c r="C225" s="12" t="s">
        <v>368</v>
      </c>
      <c r="D225" s="12">
        <v>100</v>
      </c>
      <c r="E225" s="12"/>
      <c r="F225" s="12"/>
      <c r="G225" s="12"/>
      <c r="H225" s="14"/>
      <c r="I225" s="15"/>
      <c r="J225" s="16"/>
    </row>
    <row r="226" spans="1:10" x14ac:dyDescent="0.2">
      <c r="A226" s="11" t="s">
        <v>35</v>
      </c>
      <c r="B226" s="12" t="s">
        <v>36</v>
      </c>
      <c r="C226" s="12" t="s">
        <v>369</v>
      </c>
      <c r="D226" s="12">
        <v>100</v>
      </c>
      <c r="E226" s="12"/>
      <c r="F226" s="12"/>
      <c r="G226" s="12"/>
      <c r="H226" s="14"/>
      <c r="I226" s="15"/>
      <c r="J226" s="16"/>
    </row>
    <row r="227" spans="1:10" x14ac:dyDescent="0.2">
      <c r="A227" s="11" t="s">
        <v>55</v>
      </c>
      <c r="B227" s="12" t="s">
        <v>36</v>
      </c>
      <c r="C227" s="12" t="s">
        <v>370</v>
      </c>
      <c r="D227" s="12">
        <v>100</v>
      </c>
      <c r="E227" s="12"/>
      <c r="F227" s="12"/>
      <c r="G227" s="12"/>
      <c r="H227" s="14"/>
      <c r="I227" s="15"/>
      <c r="J227" s="16"/>
    </row>
    <row r="228" spans="1:10" x14ac:dyDescent="0.2">
      <c r="A228" s="11" t="s">
        <v>55</v>
      </c>
      <c r="B228" s="12" t="s">
        <v>36</v>
      </c>
      <c r="C228" s="12" t="s">
        <v>347</v>
      </c>
      <c r="D228" s="12">
        <v>100</v>
      </c>
      <c r="E228" s="12"/>
      <c r="F228" s="12"/>
      <c r="G228" s="12"/>
      <c r="H228" s="14"/>
      <c r="I228" s="15"/>
      <c r="J228" s="16"/>
    </row>
    <row r="229" spans="1:10" x14ac:dyDescent="0.2">
      <c r="A229" s="11" t="s">
        <v>199</v>
      </c>
      <c r="B229" s="12" t="s">
        <v>36</v>
      </c>
      <c r="C229" s="12" t="s">
        <v>348</v>
      </c>
      <c r="D229" s="12">
        <v>100</v>
      </c>
      <c r="E229" s="12"/>
      <c r="F229" s="12"/>
      <c r="G229" s="12"/>
      <c r="H229" s="14"/>
      <c r="I229" s="15"/>
      <c r="J229" s="16"/>
    </row>
    <row r="230" spans="1:10" x14ac:dyDescent="0.2">
      <c r="A230" s="11" t="s">
        <v>37</v>
      </c>
      <c r="B230" s="12" t="s">
        <v>36</v>
      </c>
      <c r="C230" s="12" t="s">
        <v>315</v>
      </c>
      <c r="D230" s="12">
        <v>100</v>
      </c>
      <c r="E230" s="12">
        <v>9</v>
      </c>
      <c r="F230" s="12">
        <v>5</v>
      </c>
      <c r="G230" s="12">
        <v>18</v>
      </c>
      <c r="H230" s="14">
        <v>1418.8312312220401</v>
      </c>
      <c r="I230" s="15">
        <v>10860.372694015499</v>
      </c>
      <c r="J230" s="16">
        <v>6.7871849388912595E-2</v>
      </c>
    </row>
    <row r="231" spans="1:10" x14ac:dyDescent="0.2">
      <c r="A231" s="11" t="s">
        <v>37</v>
      </c>
      <c r="B231" s="12" t="s">
        <v>36</v>
      </c>
      <c r="C231" s="12" t="s">
        <v>349</v>
      </c>
      <c r="D231" s="12">
        <v>100</v>
      </c>
      <c r="E231" s="12"/>
      <c r="F231" s="12"/>
      <c r="G231" s="12"/>
      <c r="H231" s="14"/>
      <c r="I231" s="15"/>
      <c r="J231" s="16"/>
    </row>
    <row r="232" spans="1:10" x14ac:dyDescent="0.2">
      <c r="A232" s="11" t="s">
        <v>131</v>
      </c>
      <c r="B232" s="12" t="s">
        <v>36</v>
      </c>
      <c r="C232" s="12" t="s">
        <v>316</v>
      </c>
      <c r="D232" s="12">
        <v>100</v>
      </c>
      <c r="E232" s="12">
        <v>7</v>
      </c>
      <c r="F232" s="12">
        <v>4</v>
      </c>
      <c r="G232" s="12">
        <v>20</v>
      </c>
      <c r="H232" s="14">
        <v>1311.5048971368001</v>
      </c>
      <c r="I232" s="15">
        <v>10853.4102280139</v>
      </c>
      <c r="J232" s="16">
        <v>8.2634642786143395E-2</v>
      </c>
    </row>
    <row r="233" spans="1:10" x14ac:dyDescent="0.2">
      <c r="A233" s="11" t="s">
        <v>37</v>
      </c>
      <c r="B233" s="12" t="s">
        <v>36</v>
      </c>
      <c r="C233" s="12" t="s">
        <v>350</v>
      </c>
      <c r="D233" s="12">
        <v>100</v>
      </c>
      <c r="E233" s="12"/>
      <c r="F233" s="12"/>
      <c r="G233" s="12"/>
      <c r="H233" s="14"/>
      <c r="I233" s="15"/>
      <c r="J233" s="16"/>
    </row>
    <row r="234" spans="1:10" x14ac:dyDescent="0.2">
      <c r="A234" s="11" t="s">
        <v>134</v>
      </c>
      <c r="B234" s="12" t="s">
        <v>36</v>
      </c>
      <c r="C234" s="12" t="s">
        <v>351</v>
      </c>
      <c r="D234" s="12">
        <v>100</v>
      </c>
      <c r="E234" s="12"/>
      <c r="F234" s="12"/>
      <c r="G234" s="12"/>
      <c r="H234" s="14"/>
      <c r="I234" s="15"/>
      <c r="J234" s="16"/>
    </row>
    <row r="235" spans="1:10" x14ac:dyDescent="0.2">
      <c r="A235" s="11" t="s">
        <v>116</v>
      </c>
      <c r="B235" s="12" t="s">
        <v>36</v>
      </c>
      <c r="C235" s="12" t="s">
        <v>352</v>
      </c>
      <c r="D235" s="12">
        <v>100</v>
      </c>
      <c r="E235" s="12"/>
      <c r="F235" s="12"/>
      <c r="G235" s="12"/>
      <c r="H235" s="14"/>
      <c r="I235" s="15"/>
      <c r="J235" s="16"/>
    </row>
    <row r="236" spans="1:10" x14ac:dyDescent="0.2">
      <c r="A236" s="11" t="s">
        <v>37</v>
      </c>
      <c r="B236" s="12" t="s">
        <v>36</v>
      </c>
      <c r="C236" s="12" t="s">
        <v>353</v>
      </c>
      <c r="D236" s="12">
        <v>100</v>
      </c>
      <c r="E236" s="12"/>
      <c r="F236" s="12"/>
      <c r="G236" s="12"/>
      <c r="H236" s="14"/>
      <c r="I236" s="15"/>
      <c r="J236" s="16"/>
    </row>
    <row r="237" spans="1:10" x14ac:dyDescent="0.2">
      <c r="A237" s="11" t="s">
        <v>37</v>
      </c>
      <c r="B237" s="12" t="s">
        <v>36</v>
      </c>
      <c r="C237" s="12" t="s">
        <v>354</v>
      </c>
      <c r="D237" s="12">
        <v>100</v>
      </c>
      <c r="E237" s="12"/>
      <c r="F237" s="12"/>
      <c r="G237" s="12"/>
      <c r="H237" s="14"/>
      <c r="I237" s="15"/>
      <c r="J237" s="16"/>
    </row>
    <row r="238" spans="1:10" x14ac:dyDescent="0.2">
      <c r="A238" s="11" t="s">
        <v>116</v>
      </c>
      <c r="B238" s="12" t="s">
        <v>36</v>
      </c>
      <c r="C238" s="12" t="s">
        <v>317</v>
      </c>
      <c r="D238" s="12">
        <v>100</v>
      </c>
      <c r="E238" s="12">
        <v>7</v>
      </c>
      <c r="F238" s="12">
        <v>4</v>
      </c>
      <c r="G238" s="12">
        <v>20</v>
      </c>
      <c r="H238" s="14">
        <v>1267.7012540585599</v>
      </c>
      <c r="I238" s="15">
        <v>10871.2986819744</v>
      </c>
      <c r="J238" s="16">
        <v>7.1829906203164304E-2</v>
      </c>
    </row>
    <row r="239" spans="1:10" x14ac:dyDescent="0.2">
      <c r="A239" s="11" t="s">
        <v>55</v>
      </c>
      <c r="B239" s="12" t="s">
        <v>36</v>
      </c>
      <c r="C239" s="12" t="s">
        <v>318</v>
      </c>
      <c r="D239" s="12">
        <v>100</v>
      </c>
      <c r="E239" s="12">
        <v>9</v>
      </c>
      <c r="F239" s="12">
        <v>5</v>
      </c>
      <c r="G239" s="12">
        <v>18</v>
      </c>
      <c r="H239" s="14">
        <v>1351.8056673318399</v>
      </c>
      <c r="I239" s="15">
        <v>10861.525993824</v>
      </c>
      <c r="J239" s="16">
        <v>0.102960812845744</v>
      </c>
    </row>
    <row r="240" spans="1:10" x14ac:dyDescent="0.2">
      <c r="A240" s="11" t="s">
        <v>116</v>
      </c>
      <c r="B240" s="12" t="s">
        <v>36</v>
      </c>
      <c r="C240" s="12" t="s">
        <v>319</v>
      </c>
      <c r="D240" s="12">
        <v>100</v>
      </c>
      <c r="E240" s="12">
        <v>4</v>
      </c>
      <c r="F240" s="12">
        <v>2</v>
      </c>
      <c r="G240" s="12">
        <v>22</v>
      </c>
      <c r="H240" s="14">
        <v>1539.23171525874</v>
      </c>
      <c r="I240" s="15">
        <v>10874.7622129917</v>
      </c>
      <c r="J240" s="16">
        <v>5.3488362851516598E-2</v>
      </c>
    </row>
    <row r="241" spans="1:10" x14ac:dyDescent="0.2">
      <c r="A241" s="11" t="s">
        <v>131</v>
      </c>
      <c r="B241" s="12" t="s">
        <v>36</v>
      </c>
      <c r="C241" s="12" t="s">
        <v>320</v>
      </c>
      <c r="D241" s="12">
        <v>100</v>
      </c>
      <c r="E241" s="12">
        <v>7</v>
      </c>
      <c r="F241" s="12">
        <v>4</v>
      </c>
      <c r="G241" s="12">
        <v>19</v>
      </c>
      <c r="H241" s="14">
        <v>1203.02374415399</v>
      </c>
      <c r="I241" s="15">
        <v>10861.4638550281</v>
      </c>
      <c r="J241" s="16">
        <v>8.0396884645869596E-2</v>
      </c>
    </row>
    <row r="242" spans="1:10" x14ac:dyDescent="0.2">
      <c r="A242" s="11" t="s">
        <v>35</v>
      </c>
      <c r="B242" s="12" t="s">
        <v>36</v>
      </c>
      <c r="C242" s="12" t="s">
        <v>355</v>
      </c>
      <c r="D242" s="12">
        <v>100</v>
      </c>
      <c r="E242" s="12"/>
      <c r="F242" s="12"/>
      <c r="G242" s="12"/>
      <c r="H242" s="14"/>
      <c r="I242" s="15"/>
      <c r="J242" s="16"/>
    </row>
    <row r="243" spans="1:10" x14ac:dyDescent="0.2">
      <c r="A243" s="11" t="s">
        <v>35</v>
      </c>
      <c r="B243" s="12" t="s">
        <v>36</v>
      </c>
      <c r="C243" s="12" t="s">
        <v>356</v>
      </c>
      <c r="D243" s="12">
        <v>100</v>
      </c>
      <c r="E243" s="12"/>
      <c r="F243" s="12"/>
      <c r="G243" s="12"/>
      <c r="H243" s="14"/>
      <c r="I243" s="15"/>
      <c r="J243" s="16"/>
    </row>
    <row r="244" spans="1:10" x14ac:dyDescent="0.2">
      <c r="A244" s="11" t="s">
        <v>37</v>
      </c>
      <c r="B244" s="12" t="s">
        <v>36</v>
      </c>
      <c r="C244" s="12" t="s">
        <v>341</v>
      </c>
      <c r="D244" s="12">
        <v>100</v>
      </c>
      <c r="E244" s="12"/>
      <c r="F244" s="12"/>
      <c r="G244" s="12"/>
      <c r="H244" s="14"/>
      <c r="I244" s="15"/>
      <c r="J244" s="16"/>
    </row>
    <row r="245" spans="1:10" x14ac:dyDescent="0.2">
      <c r="A245" s="11" t="s">
        <v>131</v>
      </c>
      <c r="B245" s="12" t="s">
        <v>36</v>
      </c>
      <c r="C245" s="12" t="s">
        <v>357</v>
      </c>
      <c r="D245" s="12">
        <v>100</v>
      </c>
      <c r="E245" s="12"/>
      <c r="F245" s="12"/>
      <c r="G245" s="12"/>
      <c r="H245" s="14"/>
      <c r="I245" s="15"/>
      <c r="J245" s="16"/>
    </row>
    <row r="246" spans="1:10" x14ac:dyDescent="0.2">
      <c r="A246" s="11" t="s">
        <v>37</v>
      </c>
      <c r="B246" s="12" t="s">
        <v>36</v>
      </c>
      <c r="C246" s="12" t="s">
        <v>358</v>
      </c>
      <c r="D246" s="12">
        <v>100</v>
      </c>
      <c r="E246" s="12"/>
      <c r="F246" s="12"/>
      <c r="G246" s="12"/>
      <c r="H246" s="14"/>
      <c r="I246" s="15"/>
      <c r="J246" s="16"/>
    </row>
    <row r="247" spans="1:10" x14ac:dyDescent="0.2">
      <c r="A247" s="11" t="s">
        <v>150</v>
      </c>
      <c r="B247" s="12" t="s">
        <v>36</v>
      </c>
      <c r="C247" s="12" t="s">
        <v>359</v>
      </c>
      <c r="D247" s="12">
        <v>100</v>
      </c>
      <c r="E247" s="12"/>
      <c r="F247" s="12"/>
      <c r="G247" s="12"/>
      <c r="H247" s="14"/>
      <c r="I247" s="15"/>
      <c r="J247" s="16"/>
    </row>
    <row r="248" spans="1:10" x14ac:dyDescent="0.2">
      <c r="A248" s="11" t="s">
        <v>55</v>
      </c>
      <c r="B248" s="12" t="s">
        <v>36</v>
      </c>
      <c r="C248" s="12" t="s">
        <v>360</v>
      </c>
      <c r="D248" s="12">
        <v>100</v>
      </c>
      <c r="E248" s="12"/>
      <c r="F248" s="12"/>
      <c r="G248" s="12"/>
      <c r="H248" s="14"/>
      <c r="I248" s="15"/>
      <c r="J248" s="16"/>
    </row>
    <row r="249" spans="1:10" x14ac:dyDescent="0.2">
      <c r="A249" s="11" t="s">
        <v>134</v>
      </c>
      <c r="B249" s="12" t="s">
        <v>36</v>
      </c>
      <c r="C249" s="12" t="s">
        <v>361</v>
      </c>
      <c r="D249" s="12">
        <v>100</v>
      </c>
      <c r="E249" s="12"/>
      <c r="F249" s="12"/>
      <c r="G249" s="12"/>
      <c r="H249" s="14"/>
      <c r="I249" s="15"/>
      <c r="J249" s="16"/>
    </row>
    <row r="250" spans="1:10" x14ac:dyDescent="0.2">
      <c r="A250" s="11" t="s">
        <v>116</v>
      </c>
      <c r="B250" s="12" t="s">
        <v>36</v>
      </c>
      <c r="C250" s="12" t="s">
        <v>362</v>
      </c>
      <c r="D250" s="12">
        <v>100</v>
      </c>
      <c r="E250" s="12"/>
      <c r="F250" s="12"/>
      <c r="G250" s="12"/>
      <c r="H250" s="14"/>
      <c r="I250" s="15"/>
      <c r="J250" s="16"/>
    </row>
    <row r="251" spans="1:10" x14ac:dyDescent="0.2">
      <c r="A251" s="11" t="s">
        <v>35</v>
      </c>
      <c r="B251" s="12" t="s">
        <v>36</v>
      </c>
      <c r="C251" s="12" t="s">
        <v>363</v>
      </c>
      <c r="D251" s="12">
        <v>100</v>
      </c>
      <c r="E251" s="12"/>
      <c r="F251" s="12"/>
      <c r="G251" s="12"/>
      <c r="H251" s="14"/>
      <c r="I251" s="15"/>
      <c r="J251" s="16"/>
    </row>
    <row r="252" spans="1:10" x14ac:dyDescent="0.2">
      <c r="A252" s="11" t="s">
        <v>131</v>
      </c>
      <c r="B252" s="12" t="s">
        <v>36</v>
      </c>
      <c r="C252" s="12" t="s">
        <v>364</v>
      </c>
      <c r="D252" s="12">
        <v>100</v>
      </c>
      <c r="E252" s="12"/>
      <c r="F252" s="12"/>
      <c r="G252" s="12"/>
      <c r="H252" s="14"/>
      <c r="I252" s="15"/>
      <c r="J252" s="16"/>
    </row>
    <row r="253" spans="1:10" x14ac:dyDescent="0.2">
      <c r="A253" s="11" t="s">
        <v>55</v>
      </c>
      <c r="B253" s="12" t="s">
        <v>36</v>
      </c>
      <c r="C253" s="12" t="s">
        <v>321</v>
      </c>
      <c r="D253" s="12">
        <v>100</v>
      </c>
      <c r="E253" s="12">
        <v>4</v>
      </c>
      <c r="F253" s="12">
        <v>2</v>
      </c>
      <c r="G253" s="12">
        <v>23</v>
      </c>
      <c r="H253" s="14">
        <v>1473.8341385875899</v>
      </c>
      <c r="I253" s="15">
        <v>10862.368431091299</v>
      </c>
      <c r="J253" s="16">
        <v>1.4989858613723799E-2</v>
      </c>
    </row>
    <row r="254" spans="1:10" x14ac:dyDescent="0.2">
      <c r="A254" s="11" t="s">
        <v>56</v>
      </c>
      <c r="B254" s="12" t="s">
        <v>36</v>
      </c>
      <c r="C254" s="12" t="s">
        <v>322</v>
      </c>
      <c r="D254" s="12">
        <v>100</v>
      </c>
      <c r="E254" s="12">
        <v>7</v>
      </c>
      <c r="F254" s="12">
        <v>4</v>
      </c>
      <c r="G254" s="12">
        <v>19</v>
      </c>
      <c r="H254" s="14">
        <v>1435.8396041557</v>
      </c>
      <c r="I254" s="15">
        <v>10865.2998199462</v>
      </c>
      <c r="J254" s="16">
        <v>3.6913415365432398E-2</v>
      </c>
    </row>
    <row r="255" spans="1:10" x14ac:dyDescent="0.2">
      <c r="A255" s="11" t="s">
        <v>116</v>
      </c>
      <c r="B255" s="12" t="s">
        <v>36</v>
      </c>
      <c r="C255" s="12" t="s">
        <v>323</v>
      </c>
      <c r="D255" s="12">
        <v>100</v>
      </c>
      <c r="E255" s="12">
        <v>9</v>
      </c>
      <c r="F255" s="12">
        <v>5</v>
      </c>
      <c r="G255" s="12">
        <v>19</v>
      </c>
      <c r="H255" s="14">
        <v>1328.3762388733901</v>
      </c>
      <c r="I255" s="15">
        <v>10871.8159720897</v>
      </c>
      <c r="J255" s="16">
        <v>2.1188158375982001E-2</v>
      </c>
    </row>
    <row r="256" spans="1:10" x14ac:dyDescent="0.2">
      <c r="A256" s="11" t="s">
        <v>160</v>
      </c>
      <c r="B256" s="12" t="s">
        <v>36</v>
      </c>
      <c r="C256" s="12" t="s">
        <v>365</v>
      </c>
      <c r="D256" s="12">
        <v>100</v>
      </c>
      <c r="E256" s="12"/>
      <c r="F256" s="12"/>
      <c r="G256" s="12"/>
      <c r="H256" s="14"/>
      <c r="I256" s="15"/>
      <c r="J256" s="16"/>
    </row>
    <row r="257" spans="1:13" x14ac:dyDescent="0.2">
      <c r="A257" s="11" t="s">
        <v>37</v>
      </c>
      <c r="B257" s="12" t="s">
        <v>36</v>
      </c>
      <c r="C257" s="12" t="s">
        <v>324</v>
      </c>
      <c r="D257" s="12">
        <v>100</v>
      </c>
      <c r="E257" s="12">
        <v>7</v>
      </c>
      <c r="F257" s="12">
        <v>4</v>
      </c>
      <c r="G257" s="12">
        <v>19</v>
      </c>
      <c r="H257" s="14">
        <v>1195.3316045573099</v>
      </c>
      <c r="I257" s="15">
        <v>10854.5275599956</v>
      </c>
      <c r="J257" s="16">
        <v>1.65578404523157E-2</v>
      </c>
    </row>
    <row r="258" spans="1:13" x14ac:dyDescent="0.2">
      <c r="A258" s="11" t="s">
        <v>160</v>
      </c>
      <c r="B258" s="12" t="s">
        <v>36</v>
      </c>
      <c r="C258" s="12" t="s">
        <v>325</v>
      </c>
      <c r="D258" s="12">
        <v>100</v>
      </c>
      <c r="E258" s="12">
        <v>9</v>
      </c>
      <c r="F258" s="12">
        <v>5</v>
      </c>
      <c r="G258" s="12">
        <v>18</v>
      </c>
      <c r="H258" s="14">
        <v>1354.6936403407899</v>
      </c>
      <c r="I258" s="15">
        <v>10859.239135026901</v>
      </c>
      <c r="J258" s="16">
        <v>2.40661512172726E-2</v>
      </c>
    </row>
    <row r="259" spans="1:13" x14ac:dyDescent="0.2">
      <c r="A259" s="11" t="s">
        <v>116</v>
      </c>
      <c r="B259" s="12" t="s">
        <v>36</v>
      </c>
      <c r="C259" s="12" t="s">
        <v>326</v>
      </c>
      <c r="D259" s="12">
        <v>100</v>
      </c>
      <c r="E259" s="12">
        <v>4</v>
      </c>
      <c r="F259" s="12">
        <v>2</v>
      </c>
      <c r="G259" s="12">
        <v>22</v>
      </c>
      <c r="H259" s="14">
        <v>1370.40971118581</v>
      </c>
      <c r="I259" s="15">
        <v>12774.0626211166</v>
      </c>
      <c r="J259" s="16" t="s">
        <v>333</v>
      </c>
    </row>
    <row r="260" spans="1:13" x14ac:dyDescent="0.2">
      <c r="A260" s="11" t="s">
        <v>56</v>
      </c>
      <c r="B260" s="12" t="s">
        <v>36</v>
      </c>
      <c r="C260" s="12" t="s">
        <v>327</v>
      </c>
      <c r="D260" s="12">
        <v>100</v>
      </c>
      <c r="E260" s="12"/>
      <c r="F260" s="12"/>
      <c r="G260" s="12"/>
      <c r="H260" s="14"/>
      <c r="I260" s="15"/>
      <c r="J260" s="16"/>
    </row>
    <row r="261" spans="1:13" x14ac:dyDescent="0.2">
      <c r="A261" s="11" t="s">
        <v>116</v>
      </c>
      <c r="B261" s="12" t="s">
        <v>36</v>
      </c>
      <c r="C261" s="12" t="s">
        <v>328</v>
      </c>
      <c r="D261" s="12">
        <v>100</v>
      </c>
      <c r="E261" s="12"/>
      <c r="F261" s="12"/>
      <c r="G261" s="12"/>
      <c r="H261" s="14"/>
      <c r="I261" s="15"/>
      <c r="J261" s="16"/>
    </row>
    <row r="262" spans="1:13" x14ac:dyDescent="0.2">
      <c r="A262" s="11" t="s">
        <v>129</v>
      </c>
      <c r="B262" s="12" t="s">
        <v>36</v>
      </c>
      <c r="C262" s="12" t="s">
        <v>329</v>
      </c>
      <c r="D262" s="12">
        <v>100</v>
      </c>
      <c r="E262" s="12"/>
      <c r="F262" s="12"/>
      <c r="G262" s="12"/>
      <c r="H262" s="14"/>
      <c r="I262" s="15"/>
      <c r="J262" s="16"/>
    </row>
    <row r="263" spans="1:13" x14ac:dyDescent="0.2">
      <c r="A263" s="11" t="s">
        <v>169</v>
      </c>
      <c r="B263" s="12" t="s">
        <v>36</v>
      </c>
      <c r="C263" s="12" t="s">
        <v>330</v>
      </c>
      <c r="D263" s="12">
        <v>100</v>
      </c>
      <c r="E263" s="12">
        <v>7</v>
      </c>
      <c r="F263" s="12">
        <v>4</v>
      </c>
      <c r="G263" s="12">
        <v>19</v>
      </c>
      <c r="H263" s="14">
        <v>1194.2862814088101</v>
      </c>
      <c r="I263" s="15">
        <v>10864.2215201854</v>
      </c>
      <c r="J263" s="16">
        <v>2.5175646313377001E-2</v>
      </c>
    </row>
    <row r="264" spans="1:13" x14ac:dyDescent="0.2">
      <c r="A264" s="11" t="s">
        <v>131</v>
      </c>
      <c r="B264" s="12" t="s">
        <v>36</v>
      </c>
      <c r="C264" s="12" t="s">
        <v>366</v>
      </c>
      <c r="D264" s="12">
        <v>100</v>
      </c>
      <c r="E264" s="12"/>
      <c r="F264" s="12"/>
      <c r="G264" s="12"/>
      <c r="H264" s="14"/>
      <c r="I264" s="15"/>
      <c r="J264" s="16"/>
    </row>
    <row r="265" spans="1:13" x14ac:dyDescent="0.2">
      <c r="A265" s="11" t="s">
        <v>134</v>
      </c>
      <c r="B265" s="12" t="s">
        <v>36</v>
      </c>
      <c r="C265" s="12" t="s">
        <v>331</v>
      </c>
      <c r="D265" s="12">
        <v>100</v>
      </c>
      <c r="E265" s="12">
        <v>4</v>
      </c>
      <c r="F265" s="12">
        <v>2</v>
      </c>
      <c r="G265" s="12">
        <v>23</v>
      </c>
      <c r="H265" s="14">
        <v>1544.03219292889</v>
      </c>
      <c r="I265" s="15">
        <v>10856.305299043601</v>
      </c>
      <c r="J265" s="16">
        <v>3.78429113366925E-2</v>
      </c>
    </row>
    <row r="266" spans="1:13" x14ac:dyDescent="0.2">
      <c r="A266" s="11" t="s">
        <v>37</v>
      </c>
      <c r="B266" s="12" t="s">
        <v>36</v>
      </c>
      <c r="C266" s="12" t="s">
        <v>367</v>
      </c>
      <c r="D266" s="12">
        <v>100</v>
      </c>
      <c r="E266" s="12"/>
      <c r="F266" s="12"/>
      <c r="G266" s="12"/>
      <c r="H266" s="14"/>
      <c r="I266" s="15"/>
      <c r="J266" s="16"/>
    </row>
    <row r="267" spans="1:13" x14ac:dyDescent="0.2">
      <c r="A267" s="11" t="s">
        <v>150</v>
      </c>
      <c r="B267" s="12" t="s">
        <v>36</v>
      </c>
      <c r="C267" s="12" t="s">
        <v>332</v>
      </c>
      <c r="D267" s="12">
        <v>100</v>
      </c>
      <c r="E267" s="12">
        <v>9</v>
      </c>
      <c r="F267" s="12">
        <v>5</v>
      </c>
      <c r="G267" s="12">
        <v>19</v>
      </c>
      <c r="H267" s="14">
        <v>1316.94062201975</v>
      </c>
      <c r="I267" s="15">
        <v>10857.738644122999</v>
      </c>
      <c r="J267" s="16">
        <v>1.64591836940376E-2</v>
      </c>
    </row>
    <row r="268" spans="1:13" hidden="1" x14ac:dyDescent="0.2">
      <c r="A268" s="11" t="s">
        <v>116</v>
      </c>
      <c r="B268" s="12" t="s">
        <v>34</v>
      </c>
      <c r="C268" s="12" t="s">
        <v>44</v>
      </c>
      <c r="D268" s="12">
        <v>15</v>
      </c>
      <c r="E268" s="12">
        <v>4</v>
      </c>
      <c r="F268" s="12">
        <v>2</v>
      </c>
      <c r="G268" s="12">
        <v>4</v>
      </c>
      <c r="H268" s="20">
        <v>444.27821355770499</v>
      </c>
      <c r="I268" s="21">
        <v>19.580351114273</v>
      </c>
      <c r="J268" t="s">
        <v>333</v>
      </c>
      <c r="L268" s="22"/>
      <c r="M268" s="22"/>
    </row>
    <row r="269" spans="1:13" hidden="1" x14ac:dyDescent="0.2">
      <c r="A269" s="11" t="s">
        <v>35</v>
      </c>
      <c r="B269" s="12" t="s">
        <v>34</v>
      </c>
      <c r="C269" s="12" t="s">
        <v>45</v>
      </c>
      <c r="D269" s="12">
        <v>15</v>
      </c>
      <c r="E269" s="12">
        <v>7</v>
      </c>
      <c r="F269" s="12">
        <v>4</v>
      </c>
      <c r="G269" s="12">
        <v>3</v>
      </c>
      <c r="H269" s="20">
        <v>404.26001495053998</v>
      </c>
      <c r="I269" s="21">
        <v>21.392860174178999</v>
      </c>
      <c r="J269" t="s">
        <v>333</v>
      </c>
      <c r="L269" s="22"/>
      <c r="M269" s="22"/>
    </row>
    <row r="270" spans="1:13" hidden="1" x14ac:dyDescent="0.2">
      <c r="A270" s="11" t="s">
        <v>178</v>
      </c>
      <c r="B270" s="12" t="s">
        <v>34</v>
      </c>
      <c r="C270" s="12" t="s">
        <v>46</v>
      </c>
      <c r="D270" s="12">
        <v>15</v>
      </c>
      <c r="E270" s="12">
        <v>9</v>
      </c>
      <c r="F270" s="12">
        <v>5</v>
      </c>
      <c r="G270" s="12">
        <v>3</v>
      </c>
      <c r="H270" s="20">
        <v>423.66545885005002</v>
      </c>
      <c r="I270" s="21">
        <v>81.711543083190904</v>
      </c>
      <c r="J270" t="s">
        <v>333</v>
      </c>
      <c r="L270" s="22"/>
      <c r="M270" s="22"/>
    </row>
    <row r="271" spans="1:13" hidden="1" x14ac:dyDescent="0.2">
      <c r="A271" s="11" t="s">
        <v>166</v>
      </c>
      <c r="B271" s="12" t="s">
        <v>34</v>
      </c>
      <c r="C271" s="12" t="s">
        <v>47</v>
      </c>
      <c r="D271" s="12">
        <v>15</v>
      </c>
      <c r="E271" s="12">
        <v>4</v>
      </c>
      <c r="F271" s="12">
        <v>2</v>
      </c>
      <c r="G271" s="12">
        <v>5</v>
      </c>
      <c r="H271" s="14">
        <v>381.39</v>
      </c>
      <c r="I271" s="21">
        <v>25.961037999999999</v>
      </c>
      <c r="J271" t="s">
        <v>333</v>
      </c>
      <c r="L271" s="19"/>
      <c r="M271" s="22"/>
    </row>
    <row r="272" spans="1:13" hidden="1" x14ac:dyDescent="0.2">
      <c r="A272" s="11" t="s">
        <v>173</v>
      </c>
      <c r="B272" s="12" t="s">
        <v>34</v>
      </c>
      <c r="C272" s="12" t="s">
        <v>48</v>
      </c>
      <c r="D272" s="12">
        <v>15</v>
      </c>
      <c r="E272" s="12">
        <v>7</v>
      </c>
      <c r="F272" s="12">
        <v>4</v>
      </c>
      <c r="G272" s="12">
        <v>4</v>
      </c>
      <c r="H272" s="20">
        <v>376.67449743063401</v>
      </c>
      <c r="I272" s="21">
        <v>21.366477012634199</v>
      </c>
      <c r="J272" t="s">
        <v>333</v>
      </c>
      <c r="L272" s="22"/>
      <c r="M272" s="22"/>
    </row>
    <row r="273" spans="1:13" hidden="1" x14ac:dyDescent="0.2">
      <c r="A273" s="11" t="s">
        <v>169</v>
      </c>
      <c r="B273" s="12" t="s">
        <v>34</v>
      </c>
      <c r="C273" s="12" t="s">
        <v>49</v>
      </c>
      <c r="D273" s="12">
        <v>15</v>
      </c>
      <c r="E273" s="12">
        <v>9</v>
      </c>
      <c r="F273" s="12">
        <v>5</v>
      </c>
      <c r="G273" s="12">
        <v>3</v>
      </c>
      <c r="H273" s="20">
        <v>416.41796001933699</v>
      </c>
      <c r="I273" s="21">
        <v>68.519243955612097</v>
      </c>
      <c r="J273" t="s">
        <v>333</v>
      </c>
      <c r="L273" s="22"/>
      <c r="M273" s="22"/>
    </row>
    <row r="274" spans="1:13" hidden="1" x14ac:dyDescent="0.2">
      <c r="A274" s="11" t="s">
        <v>181</v>
      </c>
      <c r="B274" s="12" t="s">
        <v>34</v>
      </c>
      <c r="C274" s="12" t="s">
        <v>50</v>
      </c>
      <c r="D274" s="12">
        <v>15</v>
      </c>
      <c r="E274" s="12">
        <v>4</v>
      </c>
      <c r="F274" s="12">
        <v>2</v>
      </c>
      <c r="G274" s="12">
        <v>4</v>
      </c>
      <c r="H274" s="23">
        <v>414.09153328182498</v>
      </c>
      <c r="I274" s="21">
        <v>25.587205171585001</v>
      </c>
      <c r="J274" t="s">
        <v>333</v>
      </c>
      <c r="M274" s="22"/>
    </row>
    <row r="275" spans="1:13" hidden="1" x14ac:dyDescent="0.2">
      <c r="A275" s="11" t="s">
        <v>56</v>
      </c>
      <c r="B275" s="12" t="s">
        <v>34</v>
      </c>
      <c r="C275" s="12" t="s">
        <v>51</v>
      </c>
      <c r="D275" s="12">
        <v>15</v>
      </c>
      <c r="E275" s="12">
        <v>7</v>
      </c>
      <c r="F275" s="12">
        <v>4</v>
      </c>
      <c r="G275" s="12">
        <v>3</v>
      </c>
      <c r="H275" s="20">
        <v>314.63320825020799</v>
      </c>
      <c r="I275" s="21">
        <v>34.332989931106503</v>
      </c>
      <c r="J275" t="s">
        <v>333</v>
      </c>
      <c r="L275" s="22"/>
      <c r="M275" s="22"/>
    </row>
    <row r="276" spans="1:13" hidden="1" x14ac:dyDescent="0.2">
      <c r="A276" s="11" t="s">
        <v>56</v>
      </c>
      <c r="B276" s="12" t="s">
        <v>34</v>
      </c>
      <c r="C276" s="12" t="s">
        <v>52</v>
      </c>
      <c r="D276" s="12">
        <v>15</v>
      </c>
      <c r="E276" s="12">
        <v>9</v>
      </c>
      <c r="F276" s="12">
        <v>5</v>
      </c>
      <c r="G276" s="12">
        <v>3</v>
      </c>
      <c r="H276" s="20">
        <v>425.37973631976899</v>
      </c>
      <c r="I276" s="24">
        <v>91.926743030548096</v>
      </c>
      <c r="J276" t="s">
        <v>333</v>
      </c>
      <c r="L276" s="22"/>
    </row>
    <row r="277" spans="1:13" hidden="1" x14ac:dyDescent="0.2">
      <c r="A277" s="11" t="s">
        <v>37</v>
      </c>
      <c r="B277" s="12" t="s">
        <v>34</v>
      </c>
      <c r="C277" s="12" t="s">
        <v>53</v>
      </c>
      <c r="D277" s="12">
        <v>15</v>
      </c>
      <c r="E277" s="12">
        <v>4</v>
      </c>
      <c r="F277" s="12">
        <v>2</v>
      </c>
      <c r="G277" s="12">
        <v>4</v>
      </c>
      <c r="H277" s="20">
        <v>434.61897856392102</v>
      </c>
      <c r="I277" s="21">
        <v>25.782423019409102</v>
      </c>
      <c r="J277" t="s">
        <v>333</v>
      </c>
      <c r="L277" s="22"/>
      <c r="M277" s="22"/>
    </row>
    <row r="278" spans="1:13" hidden="1" x14ac:dyDescent="0.2">
      <c r="A278" s="11" t="s">
        <v>56</v>
      </c>
      <c r="B278" s="12" t="s">
        <v>34</v>
      </c>
      <c r="C278" s="12" t="s">
        <v>54</v>
      </c>
      <c r="D278" s="12">
        <v>15</v>
      </c>
      <c r="E278" s="12">
        <v>7</v>
      </c>
      <c r="F278" s="12">
        <v>4</v>
      </c>
      <c r="G278" s="12">
        <v>3</v>
      </c>
      <c r="H278" s="20">
        <v>326.762952311785</v>
      </c>
      <c r="I278" s="21">
        <v>48.498185873031602</v>
      </c>
      <c r="J278" t="s">
        <v>333</v>
      </c>
      <c r="L278" s="22"/>
      <c r="M278" s="22"/>
    </row>
    <row r="279" spans="1:13" hidden="1" x14ac:dyDescent="0.2">
      <c r="A279" s="11" t="s">
        <v>35</v>
      </c>
      <c r="B279" s="12" t="s">
        <v>34</v>
      </c>
      <c r="C279" s="12" t="s">
        <v>57</v>
      </c>
      <c r="D279" s="12">
        <v>15</v>
      </c>
      <c r="E279" s="12">
        <v>9</v>
      </c>
      <c r="F279" s="12">
        <v>5</v>
      </c>
      <c r="G279" s="12">
        <v>3</v>
      </c>
      <c r="H279" s="20">
        <v>346.86601759865601</v>
      </c>
      <c r="I279" s="21">
        <v>56.245294094085601</v>
      </c>
      <c r="J279" t="s">
        <v>333</v>
      </c>
      <c r="L279" s="22"/>
      <c r="M279" s="22"/>
    </row>
    <row r="280" spans="1:13" hidden="1" x14ac:dyDescent="0.2">
      <c r="A280" s="11" t="s">
        <v>56</v>
      </c>
      <c r="B280" s="12" t="s">
        <v>34</v>
      </c>
      <c r="C280" s="12" t="s">
        <v>58</v>
      </c>
      <c r="D280" s="12">
        <v>15</v>
      </c>
      <c r="E280" s="12">
        <v>4</v>
      </c>
      <c r="F280" s="12">
        <v>2</v>
      </c>
      <c r="G280" s="12">
        <v>4</v>
      </c>
      <c r="H280" s="20">
        <v>395.878125988813</v>
      </c>
      <c r="I280" s="21">
        <v>24.747671842574999</v>
      </c>
      <c r="J280" t="s">
        <v>333</v>
      </c>
      <c r="L280" s="22"/>
      <c r="M280" s="22"/>
    </row>
    <row r="281" spans="1:13" hidden="1" x14ac:dyDescent="0.2">
      <c r="A281" s="11" t="s">
        <v>55</v>
      </c>
      <c r="B281" s="12" t="s">
        <v>34</v>
      </c>
      <c r="C281" s="12" t="s">
        <v>59</v>
      </c>
      <c r="D281" s="12">
        <v>15</v>
      </c>
      <c r="E281" s="12">
        <v>7</v>
      </c>
      <c r="F281" s="12">
        <v>4</v>
      </c>
      <c r="G281" s="12">
        <v>3</v>
      </c>
      <c r="H281" s="20">
        <v>298.27040084693903</v>
      </c>
      <c r="I281" s="21">
        <v>22.148358106613099</v>
      </c>
      <c r="J281" t="s">
        <v>333</v>
      </c>
      <c r="L281" s="22"/>
      <c r="M281" s="22"/>
    </row>
    <row r="282" spans="1:13" hidden="1" x14ac:dyDescent="0.2">
      <c r="A282" s="11" t="s">
        <v>35</v>
      </c>
      <c r="B282" s="12" t="s">
        <v>34</v>
      </c>
      <c r="C282" s="12" t="s">
        <v>60</v>
      </c>
      <c r="D282" s="12">
        <v>15</v>
      </c>
      <c r="E282" s="12">
        <v>9</v>
      </c>
      <c r="F282" s="12">
        <v>5</v>
      </c>
      <c r="G282" s="12">
        <v>3</v>
      </c>
      <c r="H282" s="20">
        <v>356.33508211584098</v>
      </c>
      <c r="I282" s="21">
        <v>91.781318902969304</v>
      </c>
      <c r="J282" t="s">
        <v>333</v>
      </c>
      <c r="L282" s="22"/>
      <c r="M282" s="22"/>
    </row>
    <row r="283" spans="1:13" hidden="1" x14ac:dyDescent="0.2">
      <c r="A283" s="11" t="s">
        <v>56</v>
      </c>
      <c r="B283" s="12" t="s">
        <v>34</v>
      </c>
      <c r="C283" s="12" t="s">
        <v>61</v>
      </c>
      <c r="D283" s="12">
        <v>15</v>
      </c>
      <c r="E283" s="12">
        <v>4</v>
      </c>
      <c r="F283" s="12">
        <v>2</v>
      </c>
      <c r="G283" s="12">
        <v>4</v>
      </c>
      <c r="H283" s="20">
        <v>448.96694351596699</v>
      </c>
      <c r="I283" s="21">
        <v>21.401935100555399</v>
      </c>
      <c r="J283" t="s">
        <v>333</v>
      </c>
      <c r="L283" s="22"/>
      <c r="M283" s="22"/>
    </row>
    <row r="284" spans="1:13" hidden="1" x14ac:dyDescent="0.2">
      <c r="A284" s="11" t="s">
        <v>55</v>
      </c>
      <c r="B284" s="12" t="s">
        <v>34</v>
      </c>
      <c r="C284" s="12" t="s">
        <v>62</v>
      </c>
      <c r="D284" s="12">
        <v>15</v>
      </c>
      <c r="E284" s="12">
        <v>7</v>
      </c>
      <c r="F284" s="12">
        <v>4</v>
      </c>
      <c r="G284" s="12">
        <v>3</v>
      </c>
      <c r="H284" s="20">
        <v>389.65319045674897</v>
      </c>
      <c r="I284" s="21">
        <v>24.559515000000001</v>
      </c>
      <c r="J284" t="s">
        <v>333</v>
      </c>
      <c r="L284" s="22"/>
      <c r="M284" s="22"/>
    </row>
    <row r="285" spans="1:13" hidden="1" x14ac:dyDescent="0.2">
      <c r="A285" s="11" t="s">
        <v>196</v>
      </c>
      <c r="B285" s="12" t="s">
        <v>34</v>
      </c>
      <c r="C285" s="12" t="s">
        <v>63</v>
      </c>
      <c r="D285" s="12">
        <v>15</v>
      </c>
      <c r="E285" s="12">
        <v>9</v>
      </c>
      <c r="F285" s="12">
        <v>5</v>
      </c>
      <c r="G285" s="12">
        <v>3</v>
      </c>
      <c r="H285" s="20">
        <v>434.295514907832</v>
      </c>
      <c r="I285" s="21">
        <v>107.656427145004</v>
      </c>
      <c r="J285" t="s">
        <v>333</v>
      </c>
      <c r="L285" s="22"/>
      <c r="M285" s="22"/>
    </row>
    <row r="286" spans="1:13" hidden="1" x14ac:dyDescent="0.2">
      <c r="A286" s="11" t="s">
        <v>56</v>
      </c>
      <c r="B286" s="12" t="s">
        <v>34</v>
      </c>
      <c r="C286" s="12" t="s">
        <v>64</v>
      </c>
      <c r="D286" s="12">
        <v>15</v>
      </c>
      <c r="E286" s="12">
        <v>4</v>
      </c>
      <c r="F286" s="12">
        <v>2</v>
      </c>
      <c r="G286" s="12">
        <v>4</v>
      </c>
      <c r="H286" s="20">
        <v>352.02200517602699</v>
      </c>
      <c r="I286" s="21">
        <v>20.9079220294952</v>
      </c>
      <c r="J286" t="s">
        <v>333</v>
      </c>
      <c r="L286" s="22"/>
      <c r="M286" s="22"/>
    </row>
    <row r="287" spans="1:13" hidden="1" x14ac:dyDescent="0.2">
      <c r="A287" s="11" t="s">
        <v>56</v>
      </c>
      <c r="B287" s="12" t="s">
        <v>34</v>
      </c>
      <c r="C287" s="12" t="s">
        <v>65</v>
      </c>
      <c r="D287" s="12">
        <v>15</v>
      </c>
      <c r="E287" s="12">
        <v>7</v>
      </c>
      <c r="F287" s="12">
        <v>4</v>
      </c>
      <c r="G287" s="12">
        <v>3</v>
      </c>
      <c r="H287" s="20">
        <v>376.01188940240598</v>
      </c>
      <c r="I287" s="21">
        <v>46.169550895690897</v>
      </c>
      <c r="J287" t="s">
        <v>333</v>
      </c>
      <c r="L287" s="22"/>
      <c r="M287" s="22"/>
    </row>
    <row r="288" spans="1:13" hidden="1" x14ac:dyDescent="0.2">
      <c r="A288" s="11" t="s">
        <v>35</v>
      </c>
      <c r="B288" s="12" t="s">
        <v>34</v>
      </c>
      <c r="C288" s="12" t="s">
        <v>66</v>
      </c>
      <c r="D288" s="12">
        <v>15</v>
      </c>
      <c r="E288" s="12">
        <v>9</v>
      </c>
      <c r="F288" s="12">
        <v>5</v>
      </c>
      <c r="G288" s="12">
        <v>4</v>
      </c>
      <c r="H288" s="20">
        <v>431.01594474504799</v>
      </c>
      <c r="I288" s="21">
        <v>81.984494924545203</v>
      </c>
      <c r="J288" t="s">
        <v>333</v>
      </c>
      <c r="L288" s="22"/>
      <c r="M288" s="22"/>
    </row>
    <row r="289" spans="1:13" hidden="1" x14ac:dyDescent="0.2">
      <c r="A289" s="11"/>
      <c r="B289" s="12" t="s">
        <v>34</v>
      </c>
      <c r="C289" s="12" t="s">
        <v>67</v>
      </c>
      <c r="D289" s="12">
        <v>15</v>
      </c>
      <c r="E289" s="12">
        <v>4</v>
      </c>
      <c r="F289" s="12">
        <v>2</v>
      </c>
      <c r="G289" s="12">
        <v>4</v>
      </c>
      <c r="H289" s="20">
        <v>428.753736186151</v>
      </c>
      <c r="I289" s="21">
        <v>26.2165300846099</v>
      </c>
      <c r="J289" t="s">
        <v>333</v>
      </c>
      <c r="L289" s="22"/>
      <c r="M289" s="22"/>
    </row>
    <row r="290" spans="1:13" hidden="1" x14ac:dyDescent="0.2">
      <c r="A290" s="11"/>
      <c r="B290" s="12" t="s">
        <v>34</v>
      </c>
      <c r="C290" s="12" t="s">
        <v>68</v>
      </c>
      <c r="D290" s="12">
        <v>15</v>
      </c>
      <c r="E290" s="12">
        <v>7</v>
      </c>
      <c r="F290" s="12">
        <v>4</v>
      </c>
      <c r="G290" s="12">
        <v>3</v>
      </c>
      <c r="H290" s="20">
        <v>316.02815874596399</v>
      </c>
      <c r="I290" s="21">
        <v>34.463929176330502</v>
      </c>
      <c r="J290" t="s">
        <v>333</v>
      </c>
      <c r="L290" s="22"/>
      <c r="M290" s="22"/>
    </row>
    <row r="291" spans="1:13" hidden="1" x14ac:dyDescent="0.2">
      <c r="A291" s="11" t="s">
        <v>203</v>
      </c>
      <c r="B291" s="12" t="s">
        <v>34</v>
      </c>
      <c r="C291" s="12" t="s">
        <v>69</v>
      </c>
      <c r="D291" s="12">
        <v>15</v>
      </c>
      <c r="E291" s="12">
        <v>9</v>
      </c>
      <c r="F291" s="12">
        <v>5</v>
      </c>
      <c r="G291" s="12">
        <v>3</v>
      </c>
      <c r="H291" s="20">
        <v>428.65273938463298</v>
      </c>
      <c r="I291" s="21">
        <v>48.601667881011899</v>
      </c>
      <c r="J291" t="s">
        <v>333</v>
      </c>
      <c r="L291" s="22"/>
      <c r="M291" s="22"/>
    </row>
    <row r="292" spans="1:13" hidden="1" x14ac:dyDescent="0.2">
      <c r="A292" s="11" t="s">
        <v>131</v>
      </c>
      <c r="B292" s="12" t="s">
        <v>34</v>
      </c>
      <c r="C292" s="12" t="s">
        <v>70</v>
      </c>
      <c r="D292" s="12">
        <v>15</v>
      </c>
      <c r="E292" s="12">
        <v>4</v>
      </c>
      <c r="F292" s="12">
        <v>2</v>
      </c>
      <c r="G292" s="12">
        <v>4</v>
      </c>
      <c r="H292" s="20">
        <v>413.73207898380798</v>
      </c>
      <c r="I292" s="21">
        <v>26.415184020996001</v>
      </c>
      <c r="J292" t="s">
        <v>333</v>
      </c>
      <c r="L292" s="22"/>
      <c r="M292" s="22"/>
    </row>
    <row r="293" spans="1:13" hidden="1" x14ac:dyDescent="0.2">
      <c r="A293" s="11" t="s">
        <v>196</v>
      </c>
      <c r="B293" s="12" t="s">
        <v>34</v>
      </c>
      <c r="C293" s="12" t="s">
        <v>71</v>
      </c>
      <c r="D293" s="12">
        <v>15</v>
      </c>
      <c r="E293" s="12">
        <v>7</v>
      </c>
      <c r="F293" s="12">
        <v>4</v>
      </c>
      <c r="G293" s="12">
        <v>3</v>
      </c>
      <c r="H293" s="20">
        <v>316.90014456721798</v>
      </c>
      <c r="I293" s="21">
        <v>55.189767122268599</v>
      </c>
      <c r="J293" t="s">
        <v>333</v>
      </c>
      <c r="L293" s="22"/>
      <c r="M293" s="22"/>
    </row>
    <row r="294" spans="1:13" hidden="1" x14ac:dyDescent="0.2">
      <c r="A294" s="11" t="s">
        <v>37</v>
      </c>
      <c r="B294" s="12" t="s">
        <v>34</v>
      </c>
      <c r="C294" s="12" t="s">
        <v>72</v>
      </c>
      <c r="D294" s="12">
        <v>15</v>
      </c>
      <c r="E294" s="12">
        <v>9</v>
      </c>
      <c r="F294" s="12">
        <v>5</v>
      </c>
      <c r="G294" s="12">
        <v>3</v>
      </c>
      <c r="H294" s="20">
        <v>362.03011048975998</v>
      </c>
      <c r="I294" s="21">
        <v>42.827038049697798</v>
      </c>
      <c r="J294" t="s">
        <v>333</v>
      </c>
      <c r="L294" s="22"/>
      <c r="M294" s="22"/>
    </row>
    <row r="295" spans="1:13" hidden="1" x14ac:dyDescent="0.2">
      <c r="A295" s="11" t="s">
        <v>209</v>
      </c>
      <c r="B295" s="12" t="s">
        <v>34</v>
      </c>
      <c r="C295" s="12" t="s">
        <v>73</v>
      </c>
      <c r="D295" s="12">
        <v>15</v>
      </c>
      <c r="E295" s="12">
        <v>4</v>
      </c>
      <c r="F295" s="12">
        <v>2</v>
      </c>
      <c r="G295" s="12">
        <v>3</v>
      </c>
      <c r="H295" s="20">
        <v>383.974715845079</v>
      </c>
      <c r="I295" s="21">
        <v>19.984609842300401</v>
      </c>
      <c r="J295" t="s">
        <v>333</v>
      </c>
      <c r="L295" s="22"/>
      <c r="M295" s="22"/>
    </row>
    <row r="296" spans="1:13" hidden="1" x14ac:dyDescent="0.2">
      <c r="A296" s="11" t="s">
        <v>212</v>
      </c>
      <c r="B296" s="12" t="s">
        <v>34</v>
      </c>
      <c r="C296" s="12" t="s">
        <v>74</v>
      </c>
      <c r="D296" s="12">
        <v>15</v>
      </c>
      <c r="E296" s="12">
        <v>7</v>
      </c>
      <c r="F296" s="12">
        <v>4</v>
      </c>
      <c r="G296" s="12">
        <v>3</v>
      </c>
      <c r="H296" s="20">
        <v>331.17345430660703</v>
      </c>
      <c r="I296" s="21">
        <v>189.80569410324</v>
      </c>
      <c r="J296" t="s">
        <v>333</v>
      </c>
      <c r="L296" s="22"/>
      <c r="M296" s="22"/>
    </row>
    <row r="297" spans="1:13" hidden="1" x14ac:dyDescent="0.2">
      <c r="A297" s="11" t="s">
        <v>214</v>
      </c>
      <c r="B297" s="12" t="s">
        <v>34</v>
      </c>
      <c r="C297" s="12" t="s">
        <v>75</v>
      </c>
      <c r="D297" s="12">
        <v>15</v>
      </c>
      <c r="E297" s="12">
        <v>9</v>
      </c>
      <c r="F297" s="12">
        <v>5</v>
      </c>
      <c r="G297" s="12">
        <v>3</v>
      </c>
      <c r="H297" s="20">
        <v>348.113495668486</v>
      </c>
      <c r="I297" s="21">
        <v>52.171118021011303</v>
      </c>
      <c r="J297" t="s">
        <v>333</v>
      </c>
      <c r="L297" s="22"/>
      <c r="M297" s="22"/>
    </row>
    <row r="298" spans="1:13" hidden="1" x14ac:dyDescent="0.2">
      <c r="A298" s="11" t="s">
        <v>131</v>
      </c>
      <c r="B298" s="12" t="s">
        <v>34</v>
      </c>
      <c r="C298" s="12" t="s">
        <v>76</v>
      </c>
      <c r="D298" s="12">
        <v>15</v>
      </c>
      <c r="E298" s="12">
        <v>4</v>
      </c>
      <c r="F298" s="12">
        <v>2</v>
      </c>
      <c r="G298" s="12">
        <v>4</v>
      </c>
      <c r="H298" s="20">
        <v>422.87009412877802</v>
      </c>
      <c r="I298" s="21">
        <v>27.281389951705901</v>
      </c>
      <c r="J298" t="s">
        <v>333</v>
      </c>
      <c r="L298" s="22"/>
      <c r="M298" s="22"/>
    </row>
    <row r="299" spans="1:13" hidden="1" x14ac:dyDescent="0.2">
      <c r="A299" s="11" t="s">
        <v>196</v>
      </c>
      <c r="B299" s="12" t="s">
        <v>34</v>
      </c>
      <c r="C299" s="12" t="s">
        <v>77</v>
      </c>
      <c r="D299" s="12">
        <v>15</v>
      </c>
      <c r="E299" s="12">
        <v>7</v>
      </c>
      <c r="F299" s="12">
        <v>4</v>
      </c>
      <c r="G299" s="12">
        <v>3</v>
      </c>
      <c r="H299" s="20">
        <v>363.85369617237802</v>
      </c>
      <c r="I299" s="21">
        <v>41.770630121231001</v>
      </c>
      <c r="J299" t="s">
        <v>333</v>
      </c>
      <c r="L299" s="22"/>
      <c r="M299" s="22"/>
    </row>
    <row r="300" spans="1:13" hidden="1" x14ac:dyDescent="0.2">
      <c r="A300" s="11" t="s">
        <v>199</v>
      </c>
      <c r="B300" s="12" t="s">
        <v>34</v>
      </c>
      <c r="C300" s="12" t="s">
        <v>78</v>
      </c>
      <c r="D300" s="12">
        <v>15</v>
      </c>
      <c r="E300" s="12">
        <v>9</v>
      </c>
      <c r="F300" s="12">
        <v>5</v>
      </c>
      <c r="G300" s="12">
        <v>3</v>
      </c>
      <c r="H300" s="20">
        <v>438.79240966109899</v>
      </c>
      <c r="I300" s="21">
        <v>49.542232036590498</v>
      </c>
      <c r="J300" t="s">
        <v>333</v>
      </c>
      <c r="L300" s="22"/>
      <c r="M300" s="22"/>
    </row>
    <row r="301" spans="1:13" hidden="1" x14ac:dyDescent="0.2">
      <c r="A301" s="11" t="s">
        <v>35</v>
      </c>
      <c r="B301" s="12" t="s">
        <v>34</v>
      </c>
      <c r="C301" s="12" t="s">
        <v>79</v>
      </c>
      <c r="D301" s="12">
        <v>15</v>
      </c>
      <c r="E301" s="12">
        <v>4</v>
      </c>
      <c r="F301" s="12">
        <v>2</v>
      </c>
      <c r="G301" s="12">
        <v>4</v>
      </c>
      <c r="H301" s="20">
        <v>344.907195589867</v>
      </c>
      <c r="I301" s="21">
        <v>25.7281908988952</v>
      </c>
      <c r="J301" t="s">
        <v>333</v>
      </c>
      <c r="L301" s="22"/>
      <c r="M301" s="22"/>
    </row>
    <row r="302" spans="1:13" hidden="1" x14ac:dyDescent="0.2">
      <c r="A302" s="11" t="s">
        <v>35</v>
      </c>
      <c r="B302" s="12" t="s">
        <v>34</v>
      </c>
      <c r="C302" s="12" t="s">
        <v>80</v>
      </c>
      <c r="D302" s="12">
        <v>15</v>
      </c>
      <c r="E302" s="12">
        <v>7</v>
      </c>
      <c r="F302" s="12">
        <v>4</v>
      </c>
      <c r="G302" s="12">
        <v>3</v>
      </c>
      <c r="H302" s="20">
        <v>344.43035120638399</v>
      </c>
      <c r="I302" s="21">
        <v>85.676425933837805</v>
      </c>
      <c r="J302" t="s">
        <v>333</v>
      </c>
      <c r="M302" s="22"/>
    </row>
    <row r="303" spans="1:13" hidden="1" x14ac:dyDescent="0.2">
      <c r="A303" s="11" t="s">
        <v>134</v>
      </c>
      <c r="B303" s="12" t="s">
        <v>34</v>
      </c>
      <c r="C303" s="12" t="s">
        <v>81</v>
      </c>
      <c r="D303" s="12">
        <v>15</v>
      </c>
      <c r="E303" s="12">
        <v>9</v>
      </c>
      <c r="F303" s="12">
        <v>5</v>
      </c>
      <c r="G303" s="12">
        <v>3</v>
      </c>
      <c r="H303" s="23">
        <v>406.37621964697797</v>
      </c>
      <c r="I303" s="21">
        <v>56.970532178878699</v>
      </c>
      <c r="J303" t="s">
        <v>333</v>
      </c>
      <c r="L303" s="22"/>
      <c r="M303" s="22"/>
    </row>
    <row r="304" spans="1:13" hidden="1" x14ac:dyDescent="0.2">
      <c r="A304" s="11" t="s">
        <v>227</v>
      </c>
      <c r="B304" s="12" t="s">
        <v>34</v>
      </c>
      <c r="C304" s="12" t="s">
        <v>82</v>
      </c>
      <c r="D304" s="12">
        <v>15</v>
      </c>
      <c r="E304" s="12">
        <v>4</v>
      </c>
      <c r="F304" s="12">
        <v>2</v>
      </c>
      <c r="G304" s="12">
        <v>4</v>
      </c>
      <c r="H304" s="20">
        <v>404.62637067668101</v>
      </c>
      <c r="I304" s="21">
        <v>25.946424961089999</v>
      </c>
      <c r="J304" t="s">
        <v>333</v>
      </c>
      <c r="L304" s="22"/>
    </row>
    <row r="305" spans="1:13" hidden="1" x14ac:dyDescent="0.2">
      <c r="A305" s="11" t="s">
        <v>230</v>
      </c>
      <c r="B305" s="12" t="s">
        <v>34</v>
      </c>
      <c r="C305" s="12" t="s">
        <v>83</v>
      </c>
      <c r="D305" s="12">
        <v>15</v>
      </c>
      <c r="E305" s="12">
        <v>7</v>
      </c>
      <c r="F305" s="12">
        <v>4</v>
      </c>
      <c r="G305" s="12">
        <v>3</v>
      </c>
      <c r="H305" s="20">
        <v>306.37536544450899</v>
      </c>
      <c r="I305" s="24">
        <v>32.072318077087402</v>
      </c>
      <c r="J305" t="s">
        <v>333</v>
      </c>
      <c r="L305" s="22"/>
      <c r="M305" s="22"/>
    </row>
    <row r="306" spans="1:13" hidden="1" x14ac:dyDescent="0.2">
      <c r="A306" s="11" t="s">
        <v>199</v>
      </c>
      <c r="B306" s="12" t="s">
        <v>34</v>
      </c>
      <c r="C306" s="12" t="s">
        <v>84</v>
      </c>
      <c r="D306" s="12">
        <v>15</v>
      </c>
      <c r="E306" s="12">
        <v>9</v>
      </c>
      <c r="F306" s="12">
        <v>5</v>
      </c>
      <c r="G306" s="12">
        <v>3</v>
      </c>
      <c r="H306" s="20">
        <v>417.95489515321998</v>
      </c>
      <c r="I306" s="21">
        <v>106.422206163406</v>
      </c>
      <c r="J306" t="s">
        <v>333</v>
      </c>
      <c r="M306" s="22"/>
    </row>
    <row r="307" spans="1:13" hidden="1" x14ac:dyDescent="0.2">
      <c r="A307" s="11" t="s">
        <v>234</v>
      </c>
      <c r="B307" s="12" t="s">
        <v>34</v>
      </c>
      <c r="C307" s="12" t="s">
        <v>85</v>
      </c>
      <c r="D307" s="12">
        <v>15</v>
      </c>
      <c r="E307" s="12">
        <v>4</v>
      </c>
      <c r="F307" s="12">
        <v>2</v>
      </c>
      <c r="G307" s="12">
        <v>4</v>
      </c>
      <c r="H307" s="23">
        <v>415.44932808924602</v>
      </c>
      <c r="I307" s="21">
        <v>25.488801956176701</v>
      </c>
      <c r="J307" t="s">
        <v>333</v>
      </c>
      <c r="L307" s="22"/>
      <c r="M307" s="22"/>
    </row>
    <row r="308" spans="1:13" hidden="1" x14ac:dyDescent="0.2">
      <c r="A308" s="11" t="s">
        <v>236</v>
      </c>
      <c r="B308" s="12" t="s">
        <v>34</v>
      </c>
      <c r="C308" s="12" t="s">
        <v>86</v>
      </c>
      <c r="D308" s="12">
        <v>15</v>
      </c>
      <c r="E308" s="12">
        <v>7</v>
      </c>
      <c r="F308" s="12">
        <v>4</v>
      </c>
      <c r="G308" s="12">
        <v>3</v>
      </c>
      <c r="H308" s="20">
        <v>318.84458180724403</v>
      </c>
      <c r="I308" s="21">
        <v>30.3459391593933</v>
      </c>
      <c r="J308" t="s">
        <v>333</v>
      </c>
      <c r="L308" s="22"/>
      <c r="M308" s="22"/>
    </row>
    <row r="309" spans="1:13" hidden="1" x14ac:dyDescent="0.2">
      <c r="A309" s="11" t="s">
        <v>239</v>
      </c>
      <c r="B309" s="12" t="s">
        <v>34</v>
      </c>
      <c r="C309" s="12" t="s">
        <v>87</v>
      </c>
      <c r="D309" s="12">
        <v>15</v>
      </c>
      <c r="E309" s="12">
        <v>9</v>
      </c>
      <c r="F309" s="12">
        <v>5</v>
      </c>
      <c r="G309" s="12">
        <v>3</v>
      </c>
      <c r="H309" s="20">
        <v>362.090963027469</v>
      </c>
      <c r="I309" s="21">
        <v>79.270584106445298</v>
      </c>
      <c r="J309" t="s">
        <v>333</v>
      </c>
      <c r="L309" s="22"/>
    </row>
    <row r="310" spans="1:13" hidden="1" x14ac:dyDescent="0.2">
      <c r="A310" s="11" t="s">
        <v>201</v>
      </c>
      <c r="B310" s="12" t="s">
        <v>34</v>
      </c>
      <c r="C310" s="12" t="s">
        <v>88</v>
      </c>
      <c r="D310" s="12">
        <v>15</v>
      </c>
      <c r="E310" s="12">
        <v>4</v>
      </c>
      <c r="F310" s="12">
        <v>2</v>
      </c>
      <c r="G310" s="12">
        <v>3</v>
      </c>
      <c r="H310" s="20">
        <v>362.17880575783101</v>
      </c>
      <c r="I310" s="24">
        <v>21.9116530418396</v>
      </c>
      <c r="J310" t="s">
        <v>333</v>
      </c>
      <c r="L310" s="22"/>
      <c r="M310" s="22"/>
    </row>
    <row r="311" spans="1:13" hidden="1" x14ac:dyDescent="0.2">
      <c r="A311" s="11" t="s">
        <v>242</v>
      </c>
      <c r="B311" s="12" t="s">
        <v>34</v>
      </c>
      <c r="C311" s="12" t="s">
        <v>89</v>
      </c>
      <c r="D311" s="12">
        <v>15</v>
      </c>
      <c r="E311" s="12">
        <v>7</v>
      </c>
      <c r="F311" s="12">
        <v>4</v>
      </c>
      <c r="G311" s="12">
        <v>3</v>
      </c>
      <c r="H311" s="20">
        <v>328.35823822856599</v>
      </c>
      <c r="I311" s="21">
        <v>153.33776211738501</v>
      </c>
      <c r="J311" t="s">
        <v>333</v>
      </c>
      <c r="L311" s="22"/>
    </row>
    <row r="312" spans="1:13" hidden="1" x14ac:dyDescent="0.2">
      <c r="A312" s="11" t="s">
        <v>169</v>
      </c>
      <c r="B312" s="12" t="s">
        <v>34</v>
      </c>
      <c r="C312" s="12" t="s">
        <v>90</v>
      </c>
      <c r="D312" s="12">
        <v>15</v>
      </c>
      <c r="E312" s="12">
        <v>9</v>
      </c>
      <c r="F312" s="12">
        <v>5</v>
      </c>
      <c r="G312" s="12">
        <v>3</v>
      </c>
      <c r="H312" s="20">
        <v>359.79859533424201</v>
      </c>
      <c r="I312" s="24">
        <v>56.581712961196899</v>
      </c>
      <c r="J312" t="s">
        <v>333</v>
      </c>
      <c r="L312" s="22"/>
      <c r="M312" s="22"/>
    </row>
    <row r="313" spans="1:13" hidden="1" x14ac:dyDescent="0.2">
      <c r="A313" s="11" t="s">
        <v>181</v>
      </c>
      <c r="B313" s="12" t="s">
        <v>34</v>
      </c>
      <c r="C313" s="12" t="s">
        <v>91</v>
      </c>
      <c r="D313" s="12">
        <v>15</v>
      </c>
      <c r="E313" s="12">
        <v>4</v>
      </c>
      <c r="F313" s="12">
        <v>2</v>
      </c>
      <c r="G313" s="12">
        <v>4</v>
      </c>
      <c r="H313" s="20">
        <v>432.43329039236801</v>
      </c>
      <c r="I313" s="21">
        <v>26.156506061553898</v>
      </c>
      <c r="J313" t="s">
        <v>333</v>
      </c>
      <c r="L313" s="22"/>
      <c r="M313" s="22"/>
    </row>
    <row r="314" spans="1:13" hidden="1" x14ac:dyDescent="0.2">
      <c r="A314" s="11" t="s">
        <v>246</v>
      </c>
      <c r="B314" s="12" t="s">
        <v>34</v>
      </c>
      <c r="C314" s="12" t="s">
        <v>91</v>
      </c>
      <c r="D314" s="12">
        <v>15</v>
      </c>
      <c r="E314" s="12">
        <v>4</v>
      </c>
      <c r="F314" s="12">
        <v>2</v>
      </c>
      <c r="G314" s="12">
        <v>4</v>
      </c>
      <c r="H314" s="20">
        <v>404.77297938692698</v>
      </c>
      <c r="I314" s="21">
        <v>31.178496122360201</v>
      </c>
      <c r="J314" t="s">
        <v>333</v>
      </c>
      <c r="L314" s="22"/>
      <c r="M314" s="22"/>
    </row>
    <row r="315" spans="1:13" hidden="1" x14ac:dyDescent="0.2">
      <c r="A315" s="11" t="s">
        <v>248</v>
      </c>
      <c r="B315" s="12" t="s">
        <v>34</v>
      </c>
      <c r="C315" s="12" t="s">
        <v>93</v>
      </c>
      <c r="D315" s="12">
        <v>15</v>
      </c>
      <c r="E315" s="12">
        <v>9</v>
      </c>
      <c r="F315" s="12">
        <v>5</v>
      </c>
      <c r="G315" s="12">
        <v>3</v>
      </c>
      <c r="H315" s="20">
        <v>426.947268663616</v>
      </c>
      <c r="I315" s="21">
        <v>95.935561895370398</v>
      </c>
      <c r="J315" t="s">
        <v>333</v>
      </c>
      <c r="L315" s="22"/>
      <c r="M315" s="22"/>
    </row>
    <row r="316" spans="1:13" hidden="1" x14ac:dyDescent="0.2">
      <c r="A316" s="11" t="s">
        <v>134</v>
      </c>
      <c r="B316" s="12" t="s">
        <v>34</v>
      </c>
      <c r="C316" s="12" t="s">
        <v>94</v>
      </c>
      <c r="D316" s="12">
        <v>15</v>
      </c>
      <c r="E316" s="12">
        <v>4</v>
      </c>
      <c r="F316" s="12">
        <v>2</v>
      </c>
      <c r="G316" s="12">
        <v>3</v>
      </c>
      <c r="H316" s="20">
        <v>346.11204055300198</v>
      </c>
      <c r="I316" s="21">
        <v>20.031608819961502</v>
      </c>
      <c r="J316" t="s">
        <v>333</v>
      </c>
      <c r="L316" s="22"/>
      <c r="M316" s="22"/>
    </row>
    <row r="317" spans="1:13" hidden="1" x14ac:dyDescent="0.2">
      <c r="A317" s="11"/>
      <c r="B317" s="12" t="s">
        <v>34</v>
      </c>
      <c r="C317" s="12" t="s">
        <v>95</v>
      </c>
      <c r="D317" s="12">
        <v>15</v>
      </c>
      <c r="E317" s="12">
        <v>7</v>
      </c>
      <c r="F317" s="12">
        <v>4</v>
      </c>
      <c r="G317" s="12">
        <v>3</v>
      </c>
      <c r="H317" s="20">
        <v>347.89890304146297</v>
      </c>
      <c r="I317" s="21">
        <v>40.3823080062866</v>
      </c>
      <c r="J317" t="s">
        <v>333</v>
      </c>
      <c r="L317" s="22"/>
      <c r="M317" s="22"/>
    </row>
    <row r="318" spans="1:13" hidden="1" x14ac:dyDescent="0.2">
      <c r="A318" s="11"/>
      <c r="B318" s="12" t="s">
        <v>34</v>
      </c>
      <c r="C318" s="12" t="s">
        <v>96</v>
      </c>
      <c r="D318" s="12">
        <v>15</v>
      </c>
      <c r="E318" s="12">
        <v>9</v>
      </c>
      <c r="F318" s="12">
        <v>5</v>
      </c>
      <c r="G318" s="12">
        <v>3</v>
      </c>
      <c r="H318" s="20">
        <v>409.85191654430702</v>
      </c>
      <c r="I318" s="21">
        <v>43.456767082214299</v>
      </c>
      <c r="J318" t="s">
        <v>333</v>
      </c>
      <c r="L318" s="22"/>
      <c r="M318" s="22"/>
    </row>
    <row r="319" spans="1:13" hidden="1" x14ac:dyDescent="0.2">
      <c r="A319" s="11"/>
      <c r="B319" s="12" t="s">
        <v>34</v>
      </c>
      <c r="C319" s="12" t="s">
        <v>97</v>
      </c>
      <c r="D319" s="12">
        <v>15</v>
      </c>
      <c r="E319" s="12">
        <v>4</v>
      </c>
      <c r="F319" s="12">
        <v>2</v>
      </c>
      <c r="G319" s="12">
        <v>3</v>
      </c>
      <c r="H319" s="20">
        <v>409.58401854260802</v>
      </c>
      <c r="I319" s="21">
        <v>25.532746076583798</v>
      </c>
      <c r="J319" t="s">
        <v>333</v>
      </c>
      <c r="L319" s="22"/>
      <c r="M319" s="22"/>
    </row>
    <row r="320" spans="1:13" hidden="1" x14ac:dyDescent="0.2">
      <c r="A320" s="11" t="s">
        <v>252</v>
      </c>
      <c r="B320" s="12" t="s">
        <v>34</v>
      </c>
      <c r="C320" s="12" t="s">
        <v>98</v>
      </c>
      <c r="D320" s="12">
        <v>15</v>
      </c>
      <c r="E320" s="12">
        <v>7</v>
      </c>
      <c r="F320" s="12">
        <v>4</v>
      </c>
      <c r="G320" s="12">
        <v>3</v>
      </c>
      <c r="H320" s="20">
        <v>306.93271265014999</v>
      </c>
      <c r="I320" s="21">
        <v>22.254910945892298</v>
      </c>
      <c r="J320" t="s">
        <v>333</v>
      </c>
      <c r="L320" s="22"/>
      <c r="M320" s="22"/>
    </row>
    <row r="321" spans="1:13" hidden="1" x14ac:dyDescent="0.2">
      <c r="A321" s="11" t="s">
        <v>254</v>
      </c>
      <c r="B321" s="12" t="s">
        <v>34</v>
      </c>
      <c r="C321" s="12" t="s">
        <v>99</v>
      </c>
      <c r="D321" s="12">
        <v>15</v>
      </c>
      <c r="E321" s="12">
        <v>9</v>
      </c>
      <c r="F321" s="12">
        <v>5</v>
      </c>
      <c r="G321" s="12">
        <v>3</v>
      </c>
      <c r="H321" s="20">
        <v>421.83386504963801</v>
      </c>
      <c r="I321" s="21">
        <v>76.797930002212496</v>
      </c>
      <c r="J321" t="s">
        <v>333</v>
      </c>
      <c r="L321" s="22"/>
      <c r="M321" s="22"/>
    </row>
    <row r="322" spans="1:13" hidden="1" x14ac:dyDescent="0.2">
      <c r="A322" s="11" t="s">
        <v>256</v>
      </c>
      <c r="B322" s="12" t="s">
        <v>34</v>
      </c>
      <c r="C322" s="12" t="s">
        <v>100</v>
      </c>
      <c r="D322" s="12">
        <v>15</v>
      </c>
      <c r="E322" s="12">
        <v>4</v>
      </c>
      <c r="F322" s="12">
        <v>2</v>
      </c>
      <c r="G322" s="12">
        <v>4</v>
      </c>
      <c r="H322" s="20">
        <v>425.73855345323301</v>
      </c>
      <c r="I322" s="21">
        <v>25.3817989826202</v>
      </c>
      <c r="J322" t="s">
        <v>333</v>
      </c>
      <c r="L322" s="22"/>
      <c r="M322" s="22"/>
    </row>
    <row r="323" spans="1:13" hidden="1" x14ac:dyDescent="0.2">
      <c r="A323" s="11"/>
      <c r="B323" s="12" t="s">
        <v>34</v>
      </c>
      <c r="C323" s="12" t="s">
        <v>101</v>
      </c>
      <c r="D323" s="12">
        <v>15</v>
      </c>
      <c r="E323" s="12">
        <v>7</v>
      </c>
      <c r="F323" s="12">
        <v>4</v>
      </c>
      <c r="G323" s="12">
        <v>3</v>
      </c>
      <c r="H323" s="20">
        <v>326.22392328120799</v>
      </c>
      <c r="I323" s="21">
        <v>53.8640229701995</v>
      </c>
      <c r="J323" t="s">
        <v>333</v>
      </c>
      <c r="L323" s="22"/>
      <c r="M323" s="22"/>
    </row>
    <row r="324" spans="1:13" hidden="1" x14ac:dyDescent="0.2">
      <c r="A324" s="11" t="s">
        <v>259</v>
      </c>
      <c r="B324" s="12" t="s">
        <v>34</v>
      </c>
      <c r="C324" s="12" t="s">
        <v>102</v>
      </c>
      <c r="D324" s="12">
        <v>15</v>
      </c>
      <c r="E324" s="12">
        <v>9</v>
      </c>
      <c r="F324" s="12">
        <v>5</v>
      </c>
      <c r="G324" s="12">
        <v>3</v>
      </c>
      <c r="H324" s="20">
        <v>359.16648182251703</v>
      </c>
      <c r="I324" s="21">
        <v>90.023506879806504</v>
      </c>
      <c r="J324" t="s">
        <v>333</v>
      </c>
      <c r="L324" s="22"/>
      <c r="M324" s="22"/>
    </row>
    <row r="325" spans="1:13" hidden="1" x14ac:dyDescent="0.2">
      <c r="A325" s="11" t="s">
        <v>222</v>
      </c>
      <c r="B325" s="12" t="s">
        <v>34</v>
      </c>
      <c r="C325" s="12" t="s">
        <v>103</v>
      </c>
      <c r="D325" s="12">
        <v>15</v>
      </c>
      <c r="E325" s="12">
        <v>4</v>
      </c>
      <c r="F325" s="12">
        <v>2</v>
      </c>
      <c r="G325" s="12">
        <v>4</v>
      </c>
      <c r="H325" s="20">
        <v>384.574165310654</v>
      </c>
      <c r="I325" s="21">
        <v>26.105281829833899</v>
      </c>
      <c r="J325" t="s">
        <v>333</v>
      </c>
      <c r="L325" s="22"/>
    </row>
    <row r="326" spans="1:13" hidden="1" x14ac:dyDescent="0.2">
      <c r="A326" s="11" t="s">
        <v>181</v>
      </c>
      <c r="B326" s="12" t="s">
        <v>34</v>
      </c>
      <c r="C326" s="12" t="s">
        <v>104</v>
      </c>
      <c r="D326" s="12">
        <v>15</v>
      </c>
      <c r="E326" s="12">
        <v>7</v>
      </c>
      <c r="F326" s="12">
        <v>4</v>
      </c>
      <c r="G326" s="12">
        <v>3</v>
      </c>
      <c r="H326" s="20">
        <v>331.75037711574998</v>
      </c>
      <c r="I326" s="24">
        <v>45.271229982376099</v>
      </c>
      <c r="J326" s="25" t="s">
        <v>333</v>
      </c>
      <c r="M326" s="26"/>
    </row>
    <row r="327" spans="1:13" hidden="1" x14ac:dyDescent="0.2">
      <c r="A327" s="11"/>
      <c r="B327" s="12" t="s">
        <v>34</v>
      </c>
      <c r="C327" s="12" t="s">
        <v>105</v>
      </c>
      <c r="D327" s="12">
        <v>20</v>
      </c>
      <c r="E327" s="12">
        <v>4</v>
      </c>
      <c r="F327" s="12">
        <v>2</v>
      </c>
      <c r="G327" s="12">
        <v>5</v>
      </c>
      <c r="H327" s="20">
        <v>460.40102121365601</v>
      </c>
      <c r="I327" s="21">
        <v>25.6012508869171</v>
      </c>
      <c r="J327" s="16" t="s">
        <v>333</v>
      </c>
    </row>
    <row r="328" spans="1:13" hidden="1" x14ac:dyDescent="0.2">
      <c r="A328" s="11" t="s">
        <v>248</v>
      </c>
      <c r="B328" s="12" t="s">
        <v>34</v>
      </c>
      <c r="C328" s="12" t="s">
        <v>106</v>
      </c>
      <c r="D328" s="12">
        <v>20</v>
      </c>
      <c r="E328" s="12">
        <v>4</v>
      </c>
      <c r="F328" s="12">
        <v>2</v>
      </c>
      <c r="G328" s="12">
        <v>5</v>
      </c>
      <c r="H328" s="20">
        <v>432.62012482485397</v>
      </c>
      <c r="I328" s="21">
        <v>42.7313039302825</v>
      </c>
      <c r="J328" s="16" t="s">
        <v>333</v>
      </c>
    </row>
    <row r="329" spans="1:13" hidden="1" x14ac:dyDescent="0.2">
      <c r="A329" s="11"/>
      <c r="B329" s="12" t="s">
        <v>34</v>
      </c>
      <c r="C329" s="12" t="s">
        <v>107</v>
      </c>
      <c r="D329" s="12">
        <v>20</v>
      </c>
      <c r="E329" s="12">
        <v>4</v>
      </c>
      <c r="F329" s="12">
        <v>2</v>
      </c>
      <c r="G329" s="12">
        <v>5</v>
      </c>
      <c r="H329" s="20">
        <v>488.51243585662098</v>
      </c>
      <c r="I329" s="21">
        <v>32.441288948058997</v>
      </c>
      <c r="J329" s="16" t="s">
        <v>333</v>
      </c>
    </row>
    <row r="330" spans="1:13" hidden="1" x14ac:dyDescent="0.2">
      <c r="A330" s="11" t="s">
        <v>266</v>
      </c>
      <c r="B330" s="12" t="s">
        <v>34</v>
      </c>
      <c r="C330" s="12" t="s">
        <v>108</v>
      </c>
      <c r="D330" s="12">
        <v>20</v>
      </c>
      <c r="E330" s="12">
        <v>4</v>
      </c>
      <c r="F330" s="12">
        <v>2</v>
      </c>
      <c r="G330" s="12">
        <v>4</v>
      </c>
      <c r="H330" s="20">
        <v>503.85466725470798</v>
      </c>
      <c r="I330" s="21">
        <v>33.656774044036801</v>
      </c>
      <c r="J330" s="16" t="s">
        <v>333</v>
      </c>
    </row>
    <row r="331" spans="1:13" hidden="1" x14ac:dyDescent="0.2">
      <c r="A331" s="11"/>
      <c r="B331" s="12" t="s">
        <v>34</v>
      </c>
      <c r="C331" s="12" t="s">
        <v>109</v>
      </c>
      <c r="D331" s="12">
        <v>20</v>
      </c>
      <c r="E331" s="12">
        <v>4</v>
      </c>
      <c r="F331" s="12">
        <v>2</v>
      </c>
      <c r="G331" s="12">
        <v>5</v>
      </c>
      <c r="H331" s="20">
        <v>498.34657399158499</v>
      </c>
      <c r="I331" s="21">
        <v>30.281810045242299</v>
      </c>
      <c r="J331" s="16" t="s">
        <v>333</v>
      </c>
    </row>
    <row r="332" spans="1:13" hidden="1" x14ac:dyDescent="0.2">
      <c r="A332" s="11" t="s">
        <v>269</v>
      </c>
      <c r="B332" s="12" t="s">
        <v>34</v>
      </c>
      <c r="C332" s="12" t="s">
        <v>110</v>
      </c>
      <c r="D332" s="12">
        <v>20</v>
      </c>
      <c r="E332" s="12">
        <v>4</v>
      </c>
      <c r="F332" s="12">
        <v>2</v>
      </c>
      <c r="G332" s="12">
        <v>5</v>
      </c>
      <c r="H332" s="20">
        <v>447.895801010284</v>
      </c>
      <c r="I332" s="21">
        <v>20.6534440517425</v>
      </c>
      <c r="J332" s="16" t="s">
        <v>333</v>
      </c>
    </row>
    <row r="333" spans="1:13" hidden="1" x14ac:dyDescent="0.2">
      <c r="A333" s="11"/>
      <c r="B333" s="12" t="s">
        <v>34</v>
      </c>
      <c r="C333" s="12" t="s">
        <v>111</v>
      </c>
      <c r="D333" s="12">
        <v>20</v>
      </c>
      <c r="E333" s="12">
        <v>4</v>
      </c>
      <c r="F333" s="12">
        <v>2</v>
      </c>
      <c r="G333" s="12">
        <v>5</v>
      </c>
      <c r="H333" s="20">
        <v>481.69192412212698</v>
      </c>
      <c r="I333" s="21">
        <v>36.870442867279003</v>
      </c>
      <c r="J333" s="16" t="s">
        <v>333</v>
      </c>
    </row>
    <row r="334" spans="1:13" hidden="1" x14ac:dyDescent="0.2">
      <c r="A334" s="11" t="s">
        <v>160</v>
      </c>
      <c r="B334" s="12" t="s">
        <v>34</v>
      </c>
      <c r="C334" s="12" t="s">
        <v>112</v>
      </c>
      <c r="D334" s="12">
        <v>20</v>
      </c>
      <c r="E334" s="12">
        <v>4</v>
      </c>
      <c r="F334" s="12">
        <v>2</v>
      </c>
      <c r="G334" s="12">
        <v>5</v>
      </c>
      <c r="H334" s="20">
        <v>491.15</v>
      </c>
      <c r="I334" s="21">
        <v>28.713384999999999</v>
      </c>
      <c r="J334" s="16" t="s">
        <v>333</v>
      </c>
    </row>
    <row r="335" spans="1:13" hidden="1" x14ac:dyDescent="0.2">
      <c r="A335" s="11"/>
      <c r="B335" s="12" t="s">
        <v>34</v>
      </c>
      <c r="C335" s="12" t="s">
        <v>113</v>
      </c>
      <c r="D335" s="12">
        <v>20</v>
      </c>
      <c r="E335" s="12">
        <v>4</v>
      </c>
      <c r="F335" s="12">
        <v>2</v>
      </c>
      <c r="G335" s="12">
        <v>5</v>
      </c>
      <c r="H335" s="20">
        <v>519.49433790025</v>
      </c>
      <c r="I335" s="21">
        <v>27.637104988098098</v>
      </c>
      <c r="J335" s="16" t="s">
        <v>333</v>
      </c>
    </row>
    <row r="336" spans="1:13" hidden="1" x14ac:dyDescent="0.2">
      <c r="A336" s="11" t="s">
        <v>272</v>
      </c>
      <c r="B336" s="12" t="s">
        <v>34</v>
      </c>
      <c r="C336" s="12" t="s">
        <v>114</v>
      </c>
      <c r="D336" s="12">
        <v>20</v>
      </c>
      <c r="E336" s="12">
        <v>4</v>
      </c>
      <c r="F336" s="12">
        <v>2</v>
      </c>
      <c r="G336" s="12">
        <v>6</v>
      </c>
      <c r="H336" s="20">
        <v>528.14725754891504</v>
      </c>
      <c r="I336" s="21">
        <v>25.365199089050201</v>
      </c>
      <c r="J336" s="16" t="s">
        <v>333</v>
      </c>
    </row>
    <row r="337" spans="1:13" hidden="1" x14ac:dyDescent="0.2">
      <c r="A337" s="11"/>
      <c r="B337" s="12" t="s">
        <v>34</v>
      </c>
      <c r="C337" s="12" t="s">
        <v>115</v>
      </c>
      <c r="D337" s="12">
        <v>20</v>
      </c>
      <c r="E337" s="12">
        <v>4</v>
      </c>
      <c r="F337" s="12">
        <v>2</v>
      </c>
      <c r="G337" s="12">
        <v>5</v>
      </c>
      <c r="H337" s="20">
        <v>437.85290430905098</v>
      </c>
      <c r="I337" s="21">
        <v>31.2209680080413</v>
      </c>
      <c r="J337" s="16" t="s">
        <v>333</v>
      </c>
    </row>
    <row r="338" spans="1:13" hidden="1" x14ac:dyDescent="0.2">
      <c r="A338" s="11" t="s">
        <v>274</v>
      </c>
      <c r="B338" s="12" t="s">
        <v>34</v>
      </c>
      <c r="C338" s="12" t="s">
        <v>117</v>
      </c>
      <c r="D338" s="12">
        <v>20</v>
      </c>
      <c r="E338" s="12">
        <v>4</v>
      </c>
      <c r="F338" s="12">
        <v>2</v>
      </c>
      <c r="G338" s="12">
        <v>5</v>
      </c>
      <c r="H338" s="20">
        <v>459.664181679232</v>
      </c>
      <c r="I338" s="21">
        <v>78.450607061386094</v>
      </c>
      <c r="J338" s="16" t="s">
        <v>333</v>
      </c>
    </row>
    <row r="339" spans="1:13" hidden="1" x14ac:dyDescent="0.2">
      <c r="A339" s="11" t="s">
        <v>56</v>
      </c>
      <c r="B339" s="12" t="s">
        <v>34</v>
      </c>
      <c r="C339" s="12" t="s">
        <v>118</v>
      </c>
      <c r="D339" s="12">
        <v>20</v>
      </c>
      <c r="E339" s="12">
        <v>4</v>
      </c>
      <c r="F339" s="12">
        <v>2</v>
      </c>
      <c r="G339" s="12">
        <v>5</v>
      </c>
      <c r="H339" s="20">
        <v>477.82494525828298</v>
      </c>
      <c r="I339" s="21">
        <v>36.648239850997903</v>
      </c>
      <c r="J339" s="16" t="s">
        <v>333</v>
      </c>
    </row>
    <row r="340" spans="1:13" hidden="1" x14ac:dyDescent="0.2">
      <c r="A340" s="11" t="s">
        <v>137</v>
      </c>
      <c r="B340" s="12" t="s">
        <v>34</v>
      </c>
      <c r="C340" s="12" t="s">
        <v>119</v>
      </c>
      <c r="D340" s="12">
        <v>20</v>
      </c>
      <c r="E340" s="12">
        <v>4</v>
      </c>
      <c r="F340" s="12">
        <v>2</v>
      </c>
      <c r="G340" s="12">
        <v>5</v>
      </c>
      <c r="H340" s="20">
        <v>510.70258009883202</v>
      </c>
      <c r="I340" s="21">
        <v>20.680510997772199</v>
      </c>
      <c r="J340" s="16" t="s">
        <v>333</v>
      </c>
    </row>
    <row r="341" spans="1:13" hidden="1" x14ac:dyDescent="0.2">
      <c r="A341" s="11"/>
      <c r="B341" s="12" t="s">
        <v>34</v>
      </c>
      <c r="C341" s="12" t="s">
        <v>120</v>
      </c>
      <c r="D341" s="12">
        <v>20</v>
      </c>
      <c r="E341" s="12">
        <v>4</v>
      </c>
      <c r="F341" s="12">
        <v>2</v>
      </c>
      <c r="G341" s="12">
        <v>5</v>
      </c>
      <c r="H341" s="20">
        <v>458.66628567007803</v>
      </c>
      <c r="I341" s="21">
        <v>30.090876102447499</v>
      </c>
      <c r="J341" s="16" t="s">
        <v>333</v>
      </c>
    </row>
    <row r="342" spans="1:13" hidden="1" x14ac:dyDescent="0.2">
      <c r="A342" s="11" t="s">
        <v>281</v>
      </c>
      <c r="B342" s="12" t="s">
        <v>34</v>
      </c>
      <c r="C342" s="12" t="s">
        <v>121</v>
      </c>
      <c r="D342" s="12">
        <v>20</v>
      </c>
      <c r="E342" s="12">
        <v>4</v>
      </c>
      <c r="F342" s="12">
        <v>2</v>
      </c>
      <c r="G342" s="12">
        <v>5</v>
      </c>
      <c r="H342" s="20">
        <v>448.79993161339701</v>
      </c>
      <c r="I342" s="21">
        <v>25.472079992294301</v>
      </c>
      <c r="J342" s="16" t="s">
        <v>333</v>
      </c>
    </row>
    <row r="343" spans="1:13" hidden="1" x14ac:dyDescent="0.2">
      <c r="A343" s="11" t="s">
        <v>284</v>
      </c>
      <c r="B343" s="12" t="s">
        <v>34</v>
      </c>
      <c r="C343" s="12" t="s">
        <v>122</v>
      </c>
      <c r="D343" s="12">
        <v>20</v>
      </c>
      <c r="E343" s="12">
        <v>4</v>
      </c>
      <c r="F343" s="12">
        <v>2</v>
      </c>
      <c r="G343" s="12">
        <v>5</v>
      </c>
      <c r="H343" s="20">
        <v>462.93316146428998</v>
      </c>
      <c r="I343" s="21">
        <v>45.598110914230297</v>
      </c>
      <c r="J343" s="16" t="s">
        <v>333</v>
      </c>
    </row>
    <row r="344" spans="1:13" hidden="1" x14ac:dyDescent="0.2">
      <c r="A344" s="11" t="s">
        <v>287</v>
      </c>
      <c r="B344" s="12" t="s">
        <v>34</v>
      </c>
      <c r="C344" s="12" t="s">
        <v>123</v>
      </c>
      <c r="D344" s="12">
        <v>20</v>
      </c>
      <c r="E344" s="12">
        <v>4</v>
      </c>
      <c r="F344" s="12">
        <v>2</v>
      </c>
      <c r="G344" s="12">
        <v>5</v>
      </c>
      <c r="H344" s="20">
        <v>484.69557365076997</v>
      </c>
      <c r="I344" s="21">
        <v>29.104760885238601</v>
      </c>
      <c r="J344" s="16" t="s">
        <v>333</v>
      </c>
    </row>
    <row r="345" spans="1:13" hidden="1" x14ac:dyDescent="0.2">
      <c r="A345" s="11"/>
      <c r="B345" s="12" t="s">
        <v>34</v>
      </c>
      <c r="C345" s="12" t="s">
        <v>124</v>
      </c>
      <c r="D345" s="12">
        <v>20</v>
      </c>
      <c r="E345" s="12">
        <v>4</v>
      </c>
      <c r="F345" s="12">
        <v>2</v>
      </c>
      <c r="G345" s="12">
        <v>5</v>
      </c>
      <c r="H345" s="20">
        <v>513.19132579779796</v>
      </c>
      <c r="I345" s="27">
        <v>20.129018068313599</v>
      </c>
      <c r="J345" s="16" t="s">
        <v>333</v>
      </c>
    </row>
    <row r="346" spans="1:13" hidden="1" x14ac:dyDescent="0.2">
      <c r="A346" s="11" t="s">
        <v>35</v>
      </c>
      <c r="B346" s="12" t="s">
        <v>34</v>
      </c>
      <c r="C346" s="12" t="s">
        <v>125</v>
      </c>
      <c r="D346" s="12">
        <v>20</v>
      </c>
      <c r="E346" s="12">
        <v>4</v>
      </c>
      <c r="F346" s="12">
        <v>2</v>
      </c>
      <c r="G346" s="12">
        <v>5</v>
      </c>
      <c r="H346" s="20">
        <v>477.38884622144298</v>
      </c>
      <c r="I346" s="21">
        <v>25.9529500007629</v>
      </c>
      <c r="J346" s="16" t="s">
        <v>333</v>
      </c>
    </row>
    <row r="347" spans="1:13" hidden="1" x14ac:dyDescent="0.2">
      <c r="A347" s="11" t="s">
        <v>205</v>
      </c>
      <c r="B347" s="12" t="s">
        <v>34</v>
      </c>
      <c r="C347" s="12" t="s">
        <v>127</v>
      </c>
      <c r="D347" s="12">
        <v>30</v>
      </c>
      <c r="E347" s="12">
        <v>4</v>
      </c>
      <c r="F347" s="12">
        <v>2</v>
      </c>
      <c r="G347" s="12">
        <v>7</v>
      </c>
      <c r="H347" s="14">
        <v>614.85426275938801</v>
      </c>
      <c r="I347" s="15">
        <v>1452.2177491187999</v>
      </c>
      <c r="J347" s="16" t="s">
        <v>333</v>
      </c>
      <c r="K347" s="11">
        <v>35.202534914016702</v>
      </c>
      <c r="L347" s="11">
        <v>614.85426275938801</v>
      </c>
      <c r="M347" s="11" t="s">
        <v>127</v>
      </c>
    </row>
    <row r="348" spans="1:13" hidden="1" x14ac:dyDescent="0.2">
      <c r="A348" s="11" t="s">
        <v>203</v>
      </c>
      <c r="B348" s="12" t="s">
        <v>34</v>
      </c>
      <c r="C348" s="12" t="s">
        <v>128</v>
      </c>
      <c r="D348" s="12">
        <v>30</v>
      </c>
      <c r="E348" s="12">
        <v>7</v>
      </c>
      <c r="F348" s="12">
        <v>4</v>
      </c>
      <c r="G348" s="12">
        <v>6</v>
      </c>
      <c r="H348" s="14">
        <v>559.29607437413404</v>
      </c>
      <c r="I348" s="15">
        <v>51.861705064773503</v>
      </c>
      <c r="J348" s="16" t="s">
        <v>333</v>
      </c>
      <c r="K348" s="12">
        <v>59.386200904846099</v>
      </c>
      <c r="L348" s="12">
        <v>559.29607437413404</v>
      </c>
      <c r="M348" s="12" t="s">
        <v>128</v>
      </c>
    </row>
    <row r="349" spans="1:13" hidden="1" x14ac:dyDescent="0.2">
      <c r="A349" s="11" t="s">
        <v>166</v>
      </c>
      <c r="B349" s="12" t="s">
        <v>34</v>
      </c>
      <c r="C349" s="12" t="s">
        <v>130</v>
      </c>
      <c r="D349" s="12">
        <v>30</v>
      </c>
      <c r="E349" s="12">
        <v>10</v>
      </c>
      <c r="F349" s="12">
        <v>5</v>
      </c>
      <c r="G349" s="12">
        <v>6</v>
      </c>
      <c r="H349" s="14">
        <v>625.03356863488796</v>
      </c>
      <c r="I349" s="15">
        <v>1407.14673113822</v>
      </c>
      <c r="J349" s="16" t="s">
        <v>333</v>
      </c>
      <c r="K349" s="12">
        <v>1876.40218281745</v>
      </c>
      <c r="L349" s="12">
        <v>603.52531393768004</v>
      </c>
      <c r="M349" s="12" t="s">
        <v>130</v>
      </c>
    </row>
    <row r="350" spans="1:13" hidden="1" x14ac:dyDescent="0.2">
      <c r="A350" s="11" t="s">
        <v>134</v>
      </c>
      <c r="B350" s="12" t="s">
        <v>34</v>
      </c>
      <c r="C350" s="12" t="s">
        <v>132</v>
      </c>
      <c r="D350" s="12">
        <v>30</v>
      </c>
      <c r="E350" s="12">
        <v>4</v>
      </c>
      <c r="F350" s="12">
        <v>2</v>
      </c>
      <c r="G350" s="12">
        <v>8</v>
      </c>
      <c r="H350" s="14">
        <v>604.43098366082904</v>
      </c>
      <c r="I350" s="15">
        <v>47.235814809799102</v>
      </c>
      <c r="J350" s="16" t="s">
        <v>333</v>
      </c>
      <c r="K350" s="12">
        <v>50.196280956268303</v>
      </c>
      <c r="L350" s="12">
        <v>604.43098366082904</v>
      </c>
      <c r="M350" s="12" t="s">
        <v>132</v>
      </c>
    </row>
    <row r="351" spans="1:13" hidden="1" x14ac:dyDescent="0.2">
      <c r="A351" s="11" t="s">
        <v>160</v>
      </c>
      <c r="B351" s="12" t="s">
        <v>34</v>
      </c>
      <c r="C351" s="12" t="s">
        <v>133</v>
      </c>
      <c r="D351" s="12">
        <v>30</v>
      </c>
      <c r="E351" s="12">
        <v>7</v>
      </c>
      <c r="F351" s="12">
        <v>4</v>
      </c>
      <c r="G351" s="12">
        <v>6</v>
      </c>
      <c r="H351" s="14">
        <v>597.63086985296195</v>
      </c>
      <c r="I351" s="15">
        <v>70.853092193603501</v>
      </c>
      <c r="J351" s="16" t="s">
        <v>333</v>
      </c>
      <c r="K351" s="12">
        <v>53.787580966949399</v>
      </c>
      <c r="L351" s="12">
        <v>583.74331877776797</v>
      </c>
      <c r="M351" s="12" t="s">
        <v>133</v>
      </c>
    </row>
    <row r="352" spans="1:13" hidden="1" x14ac:dyDescent="0.2">
      <c r="A352" s="11"/>
      <c r="B352" s="12" t="s">
        <v>34</v>
      </c>
      <c r="C352" s="12" t="s">
        <v>135</v>
      </c>
      <c r="D352" s="12">
        <v>30</v>
      </c>
      <c r="E352" s="12">
        <v>9</v>
      </c>
      <c r="F352" s="12">
        <v>5</v>
      </c>
      <c r="G352" s="12">
        <v>6</v>
      </c>
      <c r="H352" s="14">
        <v>649.16552242328601</v>
      </c>
      <c r="I352" s="15">
        <v>119.04334783554</v>
      </c>
      <c r="J352" s="16" t="s">
        <v>333</v>
      </c>
      <c r="K352" s="12">
        <v>191.52283406257601</v>
      </c>
      <c r="L352" s="12">
        <v>617.28649184489302</v>
      </c>
      <c r="M352" s="12" t="s">
        <v>135</v>
      </c>
    </row>
    <row r="353" spans="1:13" hidden="1" x14ac:dyDescent="0.2">
      <c r="A353" s="11" t="s">
        <v>35</v>
      </c>
      <c r="B353" s="12" t="s">
        <v>34</v>
      </c>
      <c r="C353" s="12" t="s">
        <v>136</v>
      </c>
      <c r="D353" s="12">
        <v>30</v>
      </c>
      <c r="E353" s="12">
        <v>4</v>
      </c>
      <c r="F353" s="12">
        <v>2</v>
      </c>
      <c r="G353" s="12">
        <v>8</v>
      </c>
      <c r="H353" s="14">
        <v>626.54858601651699</v>
      </c>
      <c r="I353" s="15">
        <v>35.153172969818101</v>
      </c>
      <c r="J353" s="16" t="s">
        <v>333</v>
      </c>
      <c r="K353" s="12">
        <v>31.047912120818999</v>
      </c>
      <c r="L353" s="12">
        <v>625.33721688231697</v>
      </c>
      <c r="M353" s="12" t="s">
        <v>136</v>
      </c>
    </row>
    <row r="354" spans="1:13" hidden="1" x14ac:dyDescent="0.2">
      <c r="A354" s="11" t="s">
        <v>134</v>
      </c>
      <c r="B354" s="12" t="s">
        <v>34</v>
      </c>
      <c r="C354" s="12" t="s">
        <v>138</v>
      </c>
      <c r="D354" s="12">
        <v>30</v>
      </c>
      <c r="E354" s="12">
        <v>7</v>
      </c>
      <c r="F354" s="12">
        <v>4</v>
      </c>
      <c r="G354" s="12">
        <v>6</v>
      </c>
      <c r="H354" s="14">
        <v>584.84243559660604</v>
      </c>
      <c r="I354" s="15">
        <v>946.20416688918999</v>
      </c>
      <c r="J354" s="16" t="s">
        <v>333</v>
      </c>
      <c r="K354" s="12">
        <v>513.71381092071499</v>
      </c>
      <c r="L354" s="12">
        <v>572.12982116974501</v>
      </c>
      <c r="M354" s="12" t="s">
        <v>138</v>
      </c>
    </row>
    <row r="355" spans="1:13" hidden="1" x14ac:dyDescent="0.2">
      <c r="A355" s="11" t="s">
        <v>299</v>
      </c>
      <c r="B355" s="12" t="s">
        <v>34</v>
      </c>
      <c r="C355" s="12" t="s">
        <v>139</v>
      </c>
      <c r="D355" s="12">
        <v>30</v>
      </c>
      <c r="E355" s="12">
        <v>9</v>
      </c>
      <c r="F355" s="12">
        <v>5</v>
      </c>
      <c r="G355" s="12">
        <v>6</v>
      </c>
      <c r="H355" s="14">
        <v>580.83374929835702</v>
      </c>
      <c r="I355" s="15">
        <v>110.834548950195</v>
      </c>
      <c r="J355" s="16" t="s">
        <v>333</v>
      </c>
      <c r="K355" s="12">
        <v>179.792293787002</v>
      </c>
      <c r="L355" s="12">
        <v>573.74043763102497</v>
      </c>
      <c r="M355" s="12" t="s">
        <v>139</v>
      </c>
    </row>
    <row r="356" spans="1:13" hidden="1" x14ac:dyDescent="0.2">
      <c r="A356" s="11" t="s">
        <v>201</v>
      </c>
      <c r="B356" s="12" t="s">
        <v>34</v>
      </c>
      <c r="C356" s="12" t="s">
        <v>140</v>
      </c>
      <c r="D356" s="12">
        <v>30</v>
      </c>
      <c r="E356" s="12">
        <v>4</v>
      </c>
      <c r="F356" s="12">
        <v>2</v>
      </c>
      <c r="G356" s="12">
        <v>7</v>
      </c>
      <c r="H356" s="14">
        <v>580.59611085589597</v>
      </c>
      <c r="I356" s="15">
        <v>34.897765159606898</v>
      </c>
      <c r="J356" s="16" t="s">
        <v>333</v>
      </c>
      <c r="K356" s="12">
        <v>26.1972510814666</v>
      </c>
      <c r="L356" s="12">
        <v>580.59611085589597</v>
      </c>
      <c r="M356" s="12" t="s">
        <v>140</v>
      </c>
    </row>
    <row r="357" spans="1:13" hidden="1" x14ac:dyDescent="0.2">
      <c r="A357" s="11" t="s">
        <v>205</v>
      </c>
      <c r="B357" s="12" t="s">
        <v>34</v>
      </c>
      <c r="C357" s="12" t="s">
        <v>141</v>
      </c>
      <c r="D357" s="12">
        <v>30</v>
      </c>
      <c r="E357" s="12">
        <v>7</v>
      </c>
      <c r="F357" s="12">
        <v>4</v>
      </c>
      <c r="G357" s="12">
        <v>6</v>
      </c>
      <c r="H357" s="14">
        <v>593.44000000000005</v>
      </c>
      <c r="I357" s="15">
        <v>60.167268999999997</v>
      </c>
      <c r="J357" s="16"/>
      <c r="K357" s="12">
        <v>1563.09722089767</v>
      </c>
      <c r="L357" s="12">
        <v>574.15036143264604</v>
      </c>
      <c r="M357" s="12" t="s">
        <v>141</v>
      </c>
    </row>
    <row r="358" spans="1:13" hidden="1" x14ac:dyDescent="0.2">
      <c r="A358" s="11"/>
      <c r="B358" s="12" t="s">
        <v>34</v>
      </c>
      <c r="C358" s="12" t="s">
        <v>142</v>
      </c>
      <c r="D358" s="12">
        <v>30</v>
      </c>
      <c r="E358" s="12">
        <v>9</v>
      </c>
      <c r="F358" s="12">
        <v>5</v>
      </c>
      <c r="G358" s="12">
        <v>6</v>
      </c>
      <c r="H358" s="14">
        <v>605.29064062583097</v>
      </c>
      <c r="I358" s="15">
        <v>229.10634779930101</v>
      </c>
      <c r="J358" s="16" t="s">
        <v>333</v>
      </c>
      <c r="K358" s="12">
        <v>356.40449500083901</v>
      </c>
      <c r="L358" s="12">
        <v>588.32410208267299</v>
      </c>
      <c r="M358" s="12" t="s">
        <v>142</v>
      </c>
    </row>
    <row r="359" spans="1:13" hidden="1" x14ac:dyDescent="0.2">
      <c r="A359" s="11"/>
      <c r="B359" s="12" t="s">
        <v>34</v>
      </c>
      <c r="C359" s="12" t="s">
        <v>143</v>
      </c>
      <c r="D359" s="12">
        <v>30</v>
      </c>
      <c r="E359" s="12">
        <v>4</v>
      </c>
      <c r="F359" s="12">
        <v>2</v>
      </c>
      <c r="G359" s="12">
        <v>7</v>
      </c>
      <c r="H359" s="14">
        <v>587.46557941056994</v>
      </c>
      <c r="I359" s="15">
        <v>33.699615001678403</v>
      </c>
      <c r="J359" s="16" t="s">
        <v>333</v>
      </c>
      <c r="K359" s="12">
        <v>17.5249409675598</v>
      </c>
      <c r="L359" s="12">
        <v>589.01302187787303</v>
      </c>
      <c r="M359" s="12" t="s">
        <v>143</v>
      </c>
    </row>
    <row r="360" spans="1:13" hidden="1" x14ac:dyDescent="0.2">
      <c r="A360" s="11"/>
      <c r="B360" s="12" t="s">
        <v>34</v>
      </c>
      <c r="C360" s="12" t="s">
        <v>144</v>
      </c>
      <c r="D360" s="12">
        <v>30</v>
      </c>
      <c r="E360" s="12">
        <v>7</v>
      </c>
      <c r="F360" s="12">
        <v>4</v>
      </c>
      <c r="G360" s="12">
        <v>6</v>
      </c>
      <c r="H360" s="14">
        <v>543.37941224147801</v>
      </c>
      <c r="I360" s="15">
        <v>175.40315079689</v>
      </c>
      <c r="J360" s="16" t="s">
        <v>333</v>
      </c>
      <c r="K360" s="12">
        <v>177.927484989166</v>
      </c>
      <c r="L360" s="12">
        <v>480.45524996468998</v>
      </c>
      <c r="M360" s="12" t="s">
        <v>144</v>
      </c>
    </row>
    <row r="361" spans="1:13" hidden="1" x14ac:dyDescent="0.2">
      <c r="A361" s="11" t="s">
        <v>178</v>
      </c>
      <c r="B361" s="12" t="s">
        <v>34</v>
      </c>
      <c r="C361" s="12" t="s">
        <v>145</v>
      </c>
      <c r="D361" s="12">
        <v>30</v>
      </c>
      <c r="E361" s="12">
        <v>9</v>
      </c>
      <c r="F361" s="12">
        <v>5</v>
      </c>
      <c r="G361" s="12">
        <v>6</v>
      </c>
      <c r="H361" s="14">
        <v>578.74609971166103</v>
      </c>
      <c r="I361" s="15">
        <v>155.328545808792</v>
      </c>
      <c r="J361" s="16" t="s">
        <v>333</v>
      </c>
      <c r="K361" s="12">
        <v>224.986367940902</v>
      </c>
      <c r="L361" s="12">
        <v>531.18415941058595</v>
      </c>
      <c r="M361" s="12" t="s">
        <v>145</v>
      </c>
    </row>
    <row r="362" spans="1:13" hidden="1" x14ac:dyDescent="0.2">
      <c r="A362" s="11" t="s">
        <v>178</v>
      </c>
      <c r="B362" s="12" t="s">
        <v>34</v>
      </c>
      <c r="C362" s="12" t="s">
        <v>147</v>
      </c>
      <c r="D362" s="12">
        <v>30</v>
      </c>
      <c r="E362" s="12">
        <v>4</v>
      </c>
      <c r="F362" s="12">
        <v>2</v>
      </c>
      <c r="G362" s="12">
        <v>7</v>
      </c>
      <c r="H362" s="14">
        <v>610.60365361303104</v>
      </c>
      <c r="I362" s="15">
        <v>5027.8681230544998</v>
      </c>
      <c r="J362" s="16" t="s">
        <v>333</v>
      </c>
      <c r="K362" s="12">
        <v>49.714310884475701</v>
      </c>
      <c r="L362" s="12">
        <v>572.91542641618901</v>
      </c>
      <c r="M362" s="12" t="s">
        <v>148</v>
      </c>
    </row>
    <row r="363" spans="1:13" hidden="1" x14ac:dyDescent="0.2">
      <c r="A363" s="11" t="s">
        <v>166</v>
      </c>
      <c r="B363" s="12" t="s">
        <v>34</v>
      </c>
      <c r="C363" s="12" t="s">
        <v>148</v>
      </c>
      <c r="D363" s="12">
        <v>30</v>
      </c>
      <c r="E363" s="12">
        <v>7</v>
      </c>
      <c r="F363" s="12">
        <v>4</v>
      </c>
      <c r="G363" s="12">
        <v>6</v>
      </c>
      <c r="H363" s="14">
        <v>572.91542641618901</v>
      </c>
      <c r="I363" s="15">
        <v>47.855422019958397</v>
      </c>
      <c r="J363" s="16" t="s">
        <v>333</v>
      </c>
      <c r="K363" s="12">
        <v>213.25561094284001</v>
      </c>
      <c r="L363" s="12">
        <v>638.62151885975402</v>
      </c>
      <c r="M363" s="12" t="s">
        <v>149</v>
      </c>
    </row>
    <row r="364" spans="1:13" hidden="1" x14ac:dyDescent="0.2">
      <c r="A364" s="11" t="s">
        <v>211</v>
      </c>
      <c r="B364" s="12" t="s">
        <v>34</v>
      </c>
      <c r="C364" s="12" t="s">
        <v>149</v>
      </c>
      <c r="D364" s="12">
        <v>30</v>
      </c>
      <c r="E364" s="12">
        <v>9</v>
      </c>
      <c r="F364" s="12">
        <v>5</v>
      </c>
      <c r="G364" s="12">
        <v>6</v>
      </c>
      <c r="H364" s="14">
        <v>664.64388253929701</v>
      </c>
      <c r="I364" s="15">
        <v>163.79327011108299</v>
      </c>
      <c r="J364" s="16" t="s">
        <v>333</v>
      </c>
      <c r="K364" s="12">
        <v>31.153306961059499</v>
      </c>
      <c r="L364" s="12">
        <v>593.39961695471504</v>
      </c>
      <c r="M364" s="12" t="s">
        <v>151</v>
      </c>
    </row>
    <row r="365" spans="1:13" hidden="1" x14ac:dyDescent="0.2">
      <c r="A365" s="11" t="s">
        <v>211</v>
      </c>
      <c r="B365" s="12" t="s">
        <v>34</v>
      </c>
      <c r="C365" s="12" t="s">
        <v>151</v>
      </c>
      <c r="D365" s="12">
        <v>30</v>
      </c>
      <c r="E365" s="12">
        <v>4</v>
      </c>
      <c r="F365" s="12">
        <v>2</v>
      </c>
      <c r="G365" s="12">
        <v>7</v>
      </c>
      <c r="H365" s="14">
        <v>599.165757788939</v>
      </c>
      <c r="I365" s="15">
        <v>64.766932964324894</v>
      </c>
      <c r="J365" s="16" t="s">
        <v>333</v>
      </c>
      <c r="K365" s="12">
        <v>83.945102930068899</v>
      </c>
      <c r="L365" s="12">
        <v>589.97292258920004</v>
      </c>
      <c r="M365" s="12" t="s">
        <v>152</v>
      </c>
    </row>
    <row r="366" spans="1:13" hidden="1" x14ac:dyDescent="0.2">
      <c r="A366" s="11"/>
      <c r="B366" s="12" t="s">
        <v>34</v>
      </c>
      <c r="C366" s="12" t="s">
        <v>152</v>
      </c>
      <c r="D366" s="12">
        <v>30</v>
      </c>
      <c r="E366" s="12">
        <v>7</v>
      </c>
      <c r="F366" s="12">
        <v>4</v>
      </c>
      <c r="G366" s="12">
        <v>6</v>
      </c>
      <c r="H366" s="14">
        <v>592.90464665028503</v>
      </c>
      <c r="I366" s="15">
        <v>85.053554058074894</v>
      </c>
      <c r="J366" s="16" t="s">
        <v>333</v>
      </c>
      <c r="K366" s="12">
        <v>227.89043807983299</v>
      </c>
      <c r="L366" s="12">
        <v>612.45955220522399</v>
      </c>
      <c r="M366" s="12" t="s">
        <v>153</v>
      </c>
    </row>
    <row r="367" spans="1:13" hidden="1" x14ac:dyDescent="0.2">
      <c r="A367" s="11"/>
      <c r="B367" s="12" t="s">
        <v>34</v>
      </c>
      <c r="C367" s="12" t="s">
        <v>153</v>
      </c>
      <c r="D367" s="12">
        <v>30</v>
      </c>
      <c r="E367" s="12">
        <v>9</v>
      </c>
      <c r="F367" s="12">
        <v>5</v>
      </c>
      <c r="G367" s="12">
        <v>5</v>
      </c>
      <c r="H367" s="14">
        <v>628.30892404668305</v>
      </c>
      <c r="I367" s="15">
        <v>152.81268501281701</v>
      </c>
      <c r="J367" s="16" t="s">
        <v>333</v>
      </c>
      <c r="K367" s="12">
        <v>122.956034898757</v>
      </c>
      <c r="L367" s="12">
        <v>621.45718929618897</v>
      </c>
      <c r="M367" s="12" t="s">
        <v>154</v>
      </c>
    </row>
    <row r="368" spans="1:13" hidden="1" x14ac:dyDescent="0.2">
      <c r="A368" s="11" t="s">
        <v>216</v>
      </c>
      <c r="B368" s="12" t="s">
        <v>34</v>
      </c>
      <c r="C368" s="12" t="s">
        <v>154</v>
      </c>
      <c r="D368" s="12">
        <v>30</v>
      </c>
      <c r="E368" s="12">
        <v>4</v>
      </c>
      <c r="F368" s="12">
        <v>2</v>
      </c>
      <c r="G368" s="12">
        <v>7</v>
      </c>
      <c r="H368" s="14">
        <v>621.45718929618897</v>
      </c>
      <c r="I368" s="15">
        <v>93.608597993850694</v>
      </c>
      <c r="J368" s="16" t="s">
        <v>333</v>
      </c>
      <c r="K368" s="12">
        <v>552.26457405090298</v>
      </c>
      <c r="L368" s="12">
        <v>563.21653164787904</v>
      </c>
      <c r="M368" s="12" t="s">
        <v>155</v>
      </c>
    </row>
    <row r="369" spans="1:13" hidden="1" x14ac:dyDescent="0.2">
      <c r="A369" s="11" t="s">
        <v>218</v>
      </c>
      <c r="B369" s="12" t="s">
        <v>34</v>
      </c>
      <c r="C369" s="12" t="s">
        <v>155</v>
      </c>
      <c r="D369" s="12">
        <v>30</v>
      </c>
      <c r="E369" s="12">
        <v>7</v>
      </c>
      <c r="F369" s="12">
        <v>4</v>
      </c>
      <c r="G369" s="12">
        <v>6</v>
      </c>
      <c r="H369" s="14">
        <v>582.40208193720605</v>
      </c>
      <c r="I369" s="15">
        <v>214.68661594390801</v>
      </c>
      <c r="J369" s="16" t="s">
        <v>333</v>
      </c>
      <c r="K369" s="12">
        <v>149.77376389503399</v>
      </c>
      <c r="L369" s="12">
        <v>594.74787256859804</v>
      </c>
      <c r="M369" s="12" t="s">
        <v>156</v>
      </c>
    </row>
    <row r="370" spans="1:13" hidden="1" x14ac:dyDescent="0.2">
      <c r="A370" s="11" t="s">
        <v>220</v>
      </c>
      <c r="B370" s="12" t="s">
        <v>34</v>
      </c>
      <c r="C370" s="12" t="s">
        <v>156</v>
      </c>
      <c r="D370" s="12">
        <v>30</v>
      </c>
      <c r="E370" s="12">
        <v>9</v>
      </c>
      <c r="F370" s="12">
        <v>5</v>
      </c>
      <c r="G370" s="12">
        <v>6</v>
      </c>
      <c r="H370" s="14">
        <v>609.58911890434899</v>
      </c>
      <c r="I370" s="15">
        <v>62.818360090255702</v>
      </c>
      <c r="J370" s="16" t="s">
        <v>333</v>
      </c>
      <c r="K370" s="12">
        <v>35.514561176299999</v>
      </c>
      <c r="L370" s="12">
        <v>601.56933214826802</v>
      </c>
      <c r="M370" s="12" t="s">
        <v>157</v>
      </c>
    </row>
    <row r="371" spans="1:13" hidden="1" x14ac:dyDescent="0.2">
      <c r="A371" s="11"/>
      <c r="B371" s="12" t="s">
        <v>34</v>
      </c>
      <c r="C371" s="12" t="s">
        <v>157</v>
      </c>
      <c r="D371" s="12">
        <v>30</v>
      </c>
      <c r="E371" s="12">
        <v>4</v>
      </c>
      <c r="F371" s="12">
        <v>2</v>
      </c>
      <c r="G371" s="12">
        <v>7</v>
      </c>
      <c r="H371" s="14">
        <v>601.56933214826802</v>
      </c>
      <c r="I371" s="15">
        <v>33.242424011230398</v>
      </c>
      <c r="J371" s="16" t="s">
        <v>333</v>
      </c>
      <c r="K371" s="12">
        <v>187.515522956848</v>
      </c>
      <c r="L371" s="12">
        <v>562.42026347771503</v>
      </c>
      <c r="M371" s="12" t="s">
        <v>158</v>
      </c>
    </row>
    <row r="372" spans="1:13" hidden="1" x14ac:dyDescent="0.2">
      <c r="A372" s="11" t="s">
        <v>222</v>
      </c>
      <c r="B372" s="12" t="s">
        <v>34</v>
      </c>
      <c r="C372" s="12" t="s">
        <v>158</v>
      </c>
      <c r="D372" s="12">
        <v>30</v>
      </c>
      <c r="E372" s="12">
        <v>7</v>
      </c>
      <c r="F372" s="12">
        <v>4</v>
      </c>
      <c r="G372" s="12">
        <v>6</v>
      </c>
      <c r="H372" s="14">
        <v>577.29454582598805</v>
      </c>
      <c r="I372" s="15">
        <v>105.223556041717</v>
      </c>
      <c r="J372" s="16" t="s">
        <v>333</v>
      </c>
      <c r="K372" s="12">
        <v>166.40540194511399</v>
      </c>
      <c r="L372" s="12">
        <v>583.76259724559895</v>
      </c>
      <c r="M372" s="12" t="s">
        <v>159</v>
      </c>
    </row>
    <row r="373" spans="1:13" hidden="1" x14ac:dyDescent="0.2">
      <c r="A373" s="11"/>
      <c r="B373" s="12" t="s">
        <v>34</v>
      </c>
      <c r="C373" s="12" t="s">
        <v>159</v>
      </c>
      <c r="D373" s="12">
        <v>30</v>
      </c>
      <c r="E373" s="12">
        <v>9</v>
      </c>
      <c r="F373" s="12">
        <v>5</v>
      </c>
      <c r="G373" s="12">
        <v>5</v>
      </c>
      <c r="H373" s="14">
        <v>591.79841168417295</v>
      </c>
      <c r="I373" s="15">
        <v>78.487215995788503</v>
      </c>
      <c r="J373" s="16" t="s">
        <v>333</v>
      </c>
      <c r="K373" s="12">
        <v>51.726047992706299</v>
      </c>
      <c r="L373" s="12">
        <v>580.46824533446795</v>
      </c>
      <c r="M373" s="12" t="s">
        <v>161</v>
      </c>
    </row>
    <row r="374" spans="1:13" hidden="1" x14ac:dyDescent="0.2">
      <c r="A374" s="11" t="s">
        <v>224</v>
      </c>
      <c r="B374" s="12" t="s">
        <v>34</v>
      </c>
      <c r="C374" s="12" t="s">
        <v>161</v>
      </c>
      <c r="D374" s="12">
        <v>30</v>
      </c>
      <c r="E374" s="12">
        <v>4</v>
      </c>
      <c r="F374" s="12">
        <v>2</v>
      </c>
      <c r="G374" s="12">
        <v>6</v>
      </c>
      <c r="H374" s="14">
        <v>580.46824533446795</v>
      </c>
      <c r="I374" s="15">
        <v>81.919408798217702</v>
      </c>
      <c r="J374" s="16" t="s">
        <v>333</v>
      </c>
      <c r="K374" s="12">
        <v>79.743899822235093</v>
      </c>
      <c r="L374" s="12">
        <v>523.21459560677499</v>
      </c>
      <c r="M374" s="12" t="s">
        <v>162</v>
      </c>
    </row>
    <row r="375" spans="1:13" hidden="1" x14ac:dyDescent="0.2">
      <c r="A375" s="11" t="s">
        <v>181</v>
      </c>
      <c r="B375" s="12" t="s">
        <v>34</v>
      </c>
      <c r="C375" s="12" t="s">
        <v>162</v>
      </c>
      <c r="D375" s="12">
        <v>30</v>
      </c>
      <c r="E375" s="12">
        <v>7</v>
      </c>
      <c r="F375" s="12">
        <v>4</v>
      </c>
      <c r="G375" s="12">
        <v>6</v>
      </c>
      <c r="H375" s="14">
        <v>585.02943870380795</v>
      </c>
      <c r="I375" s="15">
        <v>100.56769895553499</v>
      </c>
      <c r="J375" s="16" t="s">
        <v>333</v>
      </c>
      <c r="K375" s="12">
        <v>214.59634900092999</v>
      </c>
      <c r="L375" s="12">
        <v>543.334772706948</v>
      </c>
      <c r="M375" s="12" t="s">
        <v>163</v>
      </c>
    </row>
    <row r="376" spans="1:13" hidden="1" x14ac:dyDescent="0.2">
      <c r="A376" s="11"/>
      <c r="B376" s="12" t="s">
        <v>34</v>
      </c>
      <c r="C376" s="12" t="s">
        <v>163</v>
      </c>
      <c r="D376" s="12">
        <v>30</v>
      </c>
      <c r="E376" s="12">
        <v>9</v>
      </c>
      <c r="F376" s="12">
        <v>5</v>
      </c>
      <c r="G376" s="12">
        <v>6</v>
      </c>
      <c r="H376" s="14">
        <v>574.58909459243</v>
      </c>
      <c r="I376" s="15">
        <v>126.974714040756</v>
      </c>
      <c r="J376" s="16" t="s">
        <v>333</v>
      </c>
      <c r="K376" s="12">
        <v>346.293067932128</v>
      </c>
      <c r="L376" s="12">
        <v>548.77752458700695</v>
      </c>
      <c r="M376" s="12" t="s">
        <v>164</v>
      </c>
    </row>
    <row r="377" spans="1:13" hidden="1" x14ac:dyDescent="0.2">
      <c r="A377" s="11" t="s">
        <v>173</v>
      </c>
      <c r="B377" s="12" t="s">
        <v>34</v>
      </c>
      <c r="C377" s="12" t="s">
        <v>164</v>
      </c>
      <c r="D377" s="12">
        <v>30</v>
      </c>
      <c r="E377" s="12">
        <v>4</v>
      </c>
      <c r="F377" s="12">
        <v>2</v>
      </c>
      <c r="G377" s="12">
        <v>6</v>
      </c>
      <c r="H377" s="14">
        <v>548.77752458700695</v>
      </c>
      <c r="I377" s="15">
        <v>288.82426404952997</v>
      </c>
      <c r="J377" s="16" t="s">
        <v>333</v>
      </c>
      <c r="K377" s="12">
        <v>67.451632022857595</v>
      </c>
      <c r="L377" s="12">
        <v>563.31508522102502</v>
      </c>
      <c r="M377" s="12" t="s">
        <v>165</v>
      </c>
    </row>
    <row r="378" spans="1:13" hidden="1" x14ac:dyDescent="0.2">
      <c r="A378" s="11" t="s">
        <v>229</v>
      </c>
      <c r="B378" s="12" t="s">
        <v>34</v>
      </c>
      <c r="C378" s="12" t="s">
        <v>165</v>
      </c>
      <c r="D378" s="12">
        <v>30</v>
      </c>
      <c r="E378" s="12">
        <v>7</v>
      </c>
      <c r="F378" s="12">
        <v>4</v>
      </c>
      <c r="G378" s="12">
        <v>7</v>
      </c>
      <c r="H378" s="14">
        <v>563.31508522102502</v>
      </c>
      <c r="I378" s="15">
        <v>63.501588106155303</v>
      </c>
      <c r="J378" s="16" t="s">
        <v>333</v>
      </c>
      <c r="K378" s="12">
        <v>1059.12646198272</v>
      </c>
      <c r="L378" s="12">
        <v>584.75837755116697</v>
      </c>
      <c r="M378" s="12" t="s">
        <v>167</v>
      </c>
    </row>
    <row r="379" spans="1:13" hidden="1" x14ac:dyDescent="0.2">
      <c r="A379" s="11" t="s">
        <v>233</v>
      </c>
      <c r="B379" s="12" t="s">
        <v>34</v>
      </c>
      <c r="C379" s="12" t="s">
        <v>167</v>
      </c>
      <c r="D379" s="12">
        <v>30</v>
      </c>
      <c r="E379" s="12">
        <v>9</v>
      </c>
      <c r="F379" s="12">
        <v>5</v>
      </c>
      <c r="G379" s="12">
        <v>6</v>
      </c>
      <c r="H379" s="14">
        <v>611.02256900122495</v>
      </c>
      <c r="I379" s="15">
        <v>723.72688007354702</v>
      </c>
      <c r="J379" s="16" t="s">
        <v>333</v>
      </c>
      <c r="K379" s="12">
        <v>69.464346885681096</v>
      </c>
      <c r="L379" s="12">
        <v>594.34685666145504</v>
      </c>
      <c r="M379" s="12" t="s">
        <v>168</v>
      </c>
    </row>
    <row r="380" spans="1:13" hidden="1" x14ac:dyDescent="0.2">
      <c r="A380" s="11"/>
      <c r="B380" s="12" t="s">
        <v>34</v>
      </c>
      <c r="C380" s="12" t="s">
        <v>168</v>
      </c>
      <c r="D380" s="12">
        <v>30</v>
      </c>
      <c r="E380" s="12">
        <v>4</v>
      </c>
      <c r="F380" s="12">
        <v>2</v>
      </c>
      <c r="G380" s="12">
        <v>7</v>
      </c>
      <c r="H380" s="14">
        <v>594.34685666145504</v>
      </c>
      <c r="I380" s="15">
        <v>91.587490081787095</v>
      </c>
      <c r="J380" s="16" t="s">
        <v>333</v>
      </c>
      <c r="K380" s="12">
        <v>63.677858829498199</v>
      </c>
      <c r="L380" s="12">
        <v>557.62237018224505</v>
      </c>
      <c r="M380" s="12" t="s">
        <v>170</v>
      </c>
    </row>
    <row r="381" spans="1:13" hidden="1" x14ac:dyDescent="0.2">
      <c r="A381" s="11" t="s">
        <v>238</v>
      </c>
      <c r="B381" s="12" t="s">
        <v>34</v>
      </c>
      <c r="C381" s="12" t="s">
        <v>170</v>
      </c>
      <c r="D381" s="12">
        <v>30</v>
      </c>
      <c r="E381" s="12">
        <v>7</v>
      </c>
      <c r="F381" s="12">
        <v>4</v>
      </c>
      <c r="G381" s="12">
        <v>6</v>
      </c>
      <c r="H381" s="14">
        <v>569.750509646404</v>
      </c>
      <c r="I381" s="15">
        <v>384.13333296775801</v>
      </c>
      <c r="J381" s="16" t="s">
        <v>333</v>
      </c>
      <c r="K381" s="12">
        <v>158.12875986099201</v>
      </c>
      <c r="L381" s="12">
        <v>601.449498182973</v>
      </c>
      <c r="M381" s="12" t="s">
        <v>171</v>
      </c>
    </row>
    <row r="382" spans="1:13" hidden="1" x14ac:dyDescent="0.2">
      <c r="A382" s="11" t="s">
        <v>250</v>
      </c>
      <c r="B382" s="12" t="s">
        <v>34</v>
      </c>
      <c r="C382" s="12" t="s">
        <v>171</v>
      </c>
      <c r="D382" s="12">
        <v>30</v>
      </c>
      <c r="E382" s="12">
        <v>9</v>
      </c>
      <c r="F382" s="12">
        <v>5</v>
      </c>
      <c r="G382" s="12">
        <v>6</v>
      </c>
      <c r="H382" s="14">
        <v>632.48921696798402</v>
      </c>
      <c r="I382" s="15">
        <v>100.537529945373</v>
      </c>
      <c r="J382" s="16" t="s">
        <v>333</v>
      </c>
      <c r="K382" s="12">
        <v>105.688127994537</v>
      </c>
      <c r="L382" s="12">
        <v>585.99256243495597</v>
      </c>
      <c r="M382" s="12" t="s">
        <v>172</v>
      </c>
    </row>
    <row r="383" spans="1:13" hidden="1" x14ac:dyDescent="0.2">
      <c r="A383" s="11" t="s">
        <v>250</v>
      </c>
      <c r="B383" s="12" t="s">
        <v>34</v>
      </c>
      <c r="C383" s="12" t="s">
        <v>172</v>
      </c>
      <c r="D383" s="12">
        <v>30</v>
      </c>
      <c r="E383" s="12">
        <v>4</v>
      </c>
      <c r="F383" s="12">
        <v>2</v>
      </c>
      <c r="G383" s="12">
        <v>7</v>
      </c>
      <c r="H383" s="14">
        <v>585.99256243495597</v>
      </c>
      <c r="I383" s="15">
        <v>91.668756961822496</v>
      </c>
      <c r="J383" s="16" t="s">
        <v>333</v>
      </c>
      <c r="K383" s="12">
        <v>132.70691204070999</v>
      </c>
      <c r="L383" s="12">
        <v>578.95401001361301</v>
      </c>
      <c r="M383" s="12" t="s">
        <v>174</v>
      </c>
    </row>
    <row r="384" spans="1:13" hidden="1" x14ac:dyDescent="0.2">
      <c r="A384" s="11" t="s">
        <v>258</v>
      </c>
      <c r="B384" s="12" t="s">
        <v>34</v>
      </c>
      <c r="C384" s="12" t="s">
        <v>174</v>
      </c>
      <c r="D384" s="12">
        <v>30</v>
      </c>
      <c r="E384" s="12">
        <v>7</v>
      </c>
      <c r="F384" s="12">
        <v>4</v>
      </c>
      <c r="G384" s="12">
        <v>6</v>
      </c>
      <c r="H384" s="14">
        <v>606.80935761501996</v>
      </c>
      <c r="I384" s="15">
        <v>783.29224205016999</v>
      </c>
      <c r="J384" s="16" t="s">
        <v>333</v>
      </c>
      <c r="K384" s="12">
        <v>267.43663907051001</v>
      </c>
      <c r="L384" s="12">
        <v>579.09016070697101</v>
      </c>
      <c r="M384" s="12" t="s">
        <v>175</v>
      </c>
    </row>
    <row r="385" spans="1:13" hidden="1" x14ac:dyDescent="0.2">
      <c r="A385" s="11" t="s">
        <v>250</v>
      </c>
      <c r="B385" s="12" t="s">
        <v>34</v>
      </c>
      <c r="C385" s="12" t="s">
        <v>175</v>
      </c>
      <c r="D385" s="12">
        <v>30</v>
      </c>
      <c r="E385" s="12">
        <v>9</v>
      </c>
      <c r="F385" s="12">
        <v>5</v>
      </c>
      <c r="G385" s="12">
        <v>6</v>
      </c>
      <c r="H385" s="14">
        <v>606.32064976070205</v>
      </c>
      <c r="I385" s="15">
        <v>190.56171393394399</v>
      </c>
      <c r="J385" s="16" t="s">
        <v>333</v>
      </c>
      <c r="K385" s="12">
        <v>44.173203945159898</v>
      </c>
      <c r="L385" s="12">
        <v>574.24204541515599</v>
      </c>
      <c r="M385" s="12" t="s">
        <v>176</v>
      </c>
    </row>
    <row r="386" spans="1:13" hidden="1" x14ac:dyDescent="0.2">
      <c r="A386" s="11" t="s">
        <v>250</v>
      </c>
      <c r="B386" s="12" t="s">
        <v>34</v>
      </c>
      <c r="C386" s="12" t="s">
        <v>176</v>
      </c>
      <c r="D386" s="12">
        <v>30</v>
      </c>
      <c r="E386" s="12">
        <v>4</v>
      </c>
      <c r="F386" s="12">
        <v>2</v>
      </c>
      <c r="G386" s="12">
        <v>8</v>
      </c>
      <c r="H386" s="14">
        <v>574.24204541515599</v>
      </c>
      <c r="I386" s="15">
        <v>50.162247896194401</v>
      </c>
      <c r="J386" s="16" t="s">
        <v>333</v>
      </c>
      <c r="K386" s="12">
        <v>475.72197580337502</v>
      </c>
      <c r="L386" s="12">
        <v>542.67434682730698</v>
      </c>
      <c r="M386" s="12" t="s">
        <v>177</v>
      </c>
    </row>
    <row r="387" spans="1:13" hidden="1" x14ac:dyDescent="0.2">
      <c r="A387" s="11" t="s">
        <v>250</v>
      </c>
      <c r="B387" s="12" t="s">
        <v>34</v>
      </c>
      <c r="C387" s="12" t="s">
        <v>177</v>
      </c>
      <c r="D387" s="12">
        <v>30</v>
      </c>
      <c r="E387" s="12">
        <v>7</v>
      </c>
      <c r="F387" s="12">
        <v>4</v>
      </c>
      <c r="G387" s="12">
        <v>6</v>
      </c>
      <c r="H387" s="14">
        <v>562.52255904245101</v>
      </c>
      <c r="I387" s="15">
        <v>92.283349990844698</v>
      </c>
      <c r="J387" s="16" t="s">
        <v>333</v>
      </c>
      <c r="K387" s="12">
        <v>499.10309600829999</v>
      </c>
      <c r="L387" s="12">
        <v>544.52084232311404</v>
      </c>
      <c r="M387" s="12" t="s">
        <v>179</v>
      </c>
    </row>
    <row r="388" spans="1:13" hidden="1" x14ac:dyDescent="0.2">
      <c r="A388" s="11" t="s">
        <v>250</v>
      </c>
      <c r="B388" s="12" t="s">
        <v>34</v>
      </c>
      <c r="C388" s="12" t="s">
        <v>179</v>
      </c>
      <c r="D388" s="12">
        <v>30</v>
      </c>
      <c r="E388" s="12">
        <v>9</v>
      </c>
      <c r="F388" s="12">
        <v>5</v>
      </c>
      <c r="G388" s="12">
        <v>6</v>
      </c>
      <c r="H388" s="14">
        <v>561.48738086627202</v>
      </c>
      <c r="I388" s="15">
        <v>129.00895690917901</v>
      </c>
      <c r="J388" s="16" t="s">
        <v>333</v>
      </c>
      <c r="K388" s="12">
        <v>48.441319942474301</v>
      </c>
      <c r="L388" s="12">
        <v>581.37177342504503</v>
      </c>
      <c r="M388" s="12" t="s">
        <v>180</v>
      </c>
    </row>
    <row r="389" spans="1:13" hidden="1" x14ac:dyDescent="0.2">
      <c r="A389" s="11" t="s">
        <v>250</v>
      </c>
      <c r="B389" s="12" t="s">
        <v>34</v>
      </c>
      <c r="C389" s="12" t="s">
        <v>180</v>
      </c>
      <c r="D389" s="12">
        <v>30</v>
      </c>
      <c r="E389" s="12">
        <v>4</v>
      </c>
      <c r="F389" s="12">
        <v>2</v>
      </c>
      <c r="G389" s="12">
        <v>7</v>
      </c>
      <c r="H389" s="14">
        <v>581.37177342504503</v>
      </c>
      <c r="I389" s="15">
        <v>62.637346982955897</v>
      </c>
      <c r="J389" s="16" t="s">
        <v>333</v>
      </c>
      <c r="K389" s="12">
        <v>501.93677091598499</v>
      </c>
      <c r="L389" s="12">
        <v>466.675332194129</v>
      </c>
      <c r="M389" s="12" t="s">
        <v>182</v>
      </c>
    </row>
    <row r="390" spans="1:13" hidden="1" x14ac:dyDescent="0.2">
      <c r="A390" s="11" t="s">
        <v>250</v>
      </c>
      <c r="B390" s="12" t="s">
        <v>34</v>
      </c>
      <c r="C390" s="12" t="s">
        <v>182</v>
      </c>
      <c r="D390" s="12">
        <v>30</v>
      </c>
      <c r="E390" s="12">
        <v>7</v>
      </c>
      <c r="F390" s="12">
        <v>4</v>
      </c>
      <c r="G390" s="12">
        <v>5</v>
      </c>
      <c r="H390" s="14">
        <v>532.02427764384504</v>
      </c>
      <c r="I390" s="15">
        <v>657.295696020126</v>
      </c>
      <c r="J390" s="16" t="s">
        <v>333</v>
      </c>
      <c r="K390" s="12">
        <v>509.296644926071</v>
      </c>
      <c r="L390" s="12">
        <v>500.72101593529601</v>
      </c>
      <c r="M390" s="12" t="s">
        <v>183</v>
      </c>
    </row>
    <row r="391" spans="1:13" hidden="1" x14ac:dyDescent="0.2">
      <c r="A391" s="11" t="s">
        <v>250</v>
      </c>
      <c r="B391" s="12" t="s">
        <v>34</v>
      </c>
      <c r="C391" s="12" t="s">
        <v>183</v>
      </c>
      <c r="D391" s="12">
        <v>30</v>
      </c>
      <c r="E391" s="12">
        <v>9</v>
      </c>
      <c r="F391" s="12">
        <v>5</v>
      </c>
      <c r="G391" s="12">
        <v>5</v>
      </c>
      <c r="H391" s="14">
        <v>531.97533782077801</v>
      </c>
      <c r="I391" s="15">
        <v>323.109058856964</v>
      </c>
      <c r="J391" s="16" t="s">
        <v>333</v>
      </c>
      <c r="K391" s="12">
        <v>24.032245159149099</v>
      </c>
      <c r="L391" s="12">
        <v>556.11062249922998</v>
      </c>
      <c r="M391" s="12" t="s">
        <v>184</v>
      </c>
    </row>
    <row r="392" spans="1:13" hidden="1" x14ac:dyDescent="0.2">
      <c r="A392" s="11" t="s">
        <v>250</v>
      </c>
      <c r="B392" s="12" t="s">
        <v>34</v>
      </c>
      <c r="C392" s="12" t="s">
        <v>184</v>
      </c>
      <c r="D392" s="12">
        <v>30</v>
      </c>
      <c r="E392" s="12">
        <v>4</v>
      </c>
      <c r="F392" s="12">
        <v>2</v>
      </c>
      <c r="G392" s="12">
        <v>6</v>
      </c>
      <c r="H392" s="14">
        <v>559.64525651256099</v>
      </c>
      <c r="I392" s="15">
        <v>28.8537740707397</v>
      </c>
      <c r="J392" s="16" t="s">
        <v>333</v>
      </c>
      <c r="K392" s="12">
        <v>45.475446939468299</v>
      </c>
      <c r="L392" s="12">
        <v>575.96044097471804</v>
      </c>
      <c r="M392" s="12" t="s">
        <v>185</v>
      </c>
    </row>
    <row r="393" spans="1:13" hidden="1" x14ac:dyDescent="0.2">
      <c r="A393" s="11" t="s">
        <v>256</v>
      </c>
      <c r="B393" s="12" t="s">
        <v>34</v>
      </c>
      <c r="C393" s="12" t="s">
        <v>185</v>
      </c>
      <c r="D393" s="12">
        <v>30</v>
      </c>
      <c r="E393" s="12">
        <v>7</v>
      </c>
      <c r="F393" s="12">
        <v>4</v>
      </c>
      <c r="G393" s="12">
        <v>7</v>
      </c>
      <c r="H393" s="14">
        <v>575.96</v>
      </c>
      <c r="I393" s="15">
        <v>41.670827000000003</v>
      </c>
      <c r="J393" s="16"/>
      <c r="K393" s="12">
        <v>198.786842107772</v>
      </c>
      <c r="L393" s="12">
        <v>617.69920860269997</v>
      </c>
      <c r="M393" s="12" t="s">
        <v>186</v>
      </c>
    </row>
    <row r="394" spans="1:13" hidden="1" x14ac:dyDescent="0.2">
      <c r="A394" s="11" t="s">
        <v>276</v>
      </c>
      <c r="B394" s="12" t="s">
        <v>34</v>
      </c>
      <c r="C394" s="12" t="s">
        <v>186</v>
      </c>
      <c r="D394" s="12">
        <v>30</v>
      </c>
      <c r="E394" s="12">
        <v>9</v>
      </c>
      <c r="F394" s="12">
        <v>5</v>
      </c>
      <c r="G394" s="12">
        <v>6</v>
      </c>
      <c r="H394" s="14">
        <v>646.63583269153003</v>
      </c>
      <c r="I394" s="15">
        <v>127.19098496437</v>
      </c>
      <c r="J394" s="16" t="s">
        <v>333</v>
      </c>
      <c r="K394" s="12">
        <v>33.067393064498901</v>
      </c>
      <c r="L394" s="12">
        <v>603.62183296559897</v>
      </c>
      <c r="M394" s="12" t="s">
        <v>187</v>
      </c>
    </row>
    <row r="395" spans="1:13" hidden="1" x14ac:dyDescent="0.2">
      <c r="A395" s="11" t="s">
        <v>134</v>
      </c>
      <c r="B395" s="12" t="s">
        <v>34</v>
      </c>
      <c r="C395" s="12" t="s">
        <v>187</v>
      </c>
      <c r="D395" s="12">
        <v>30</v>
      </c>
      <c r="E395" s="12">
        <v>4</v>
      </c>
      <c r="F395" s="12">
        <v>2</v>
      </c>
      <c r="G395" s="12">
        <v>7</v>
      </c>
      <c r="H395" s="14">
        <v>603.62183296559897</v>
      </c>
      <c r="I395" s="15">
        <v>33.667802095413201</v>
      </c>
      <c r="J395" s="16" t="s">
        <v>333</v>
      </c>
      <c r="K395" s="12">
        <v>84.383241891860905</v>
      </c>
      <c r="L395" s="12">
        <v>594.06347808683995</v>
      </c>
      <c r="M395" s="12" t="s">
        <v>188</v>
      </c>
    </row>
    <row r="396" spans="1:13" hidden="1" x14ac:dyDescent="0.2">
      <c r="A396" s="11" t="s">
        <v>199</v>
      </c>
      <c r="B396" s="12" t="s">
        <v>34</v>
      </c>
      <c r="C396" s="12" t="s">
        <v>188</v>
      </c>
      <c r="D396" s="12">
        <v>30</v>
      </c>
      <c r="E396" s="12">
        <v>7</v>
      </c>
      <c r="F396" s="12">
        <v>4</v>
      </c>
      <c r="G396" s="12">
        <v>6</v>
      </c>
      <c r="H396" s="14">
        <v>595.65230034874605</v>
      </c>
      <c r="I396" s="15">
        <v>41.703644990920999</v>
      </c>
      <c r="J396" s="16" t="s">
        <v>333</v>
      </c>
      <c r="K396" s="12">
        <v>381.85496497154202</v>
      </c>
      <c r="L396" s="12">
        <v>618.45887816592699</v>
      </c>
      <c r="M396" s="12" t="s">
        <v>189</v>
      </c>
    </row>
    <row r="397" spans="1:13" hidden="1" x14ac:dyDescent="0.2">
      <c r="A397" s="11" t="s">
        <v>150</v>
      </c>
      <c r="B397" s="12" t="s">
        <v>34</v>
      </c>
      <c r="C397" s="12" t="s">
        <v>189</v>
      </c>
      <c r="D397" s="12">
        <v>30</v>
      </c>
      <c r="E397" s="12">
        <v>9</v>
      </c>
      <c r="F397" s="12">
        <v>5</v>
      </c>
      <c r="G397" s="12">
        <v>6</v>
      </c>
      <c r="H397" s="14">
        <v>638.36035239365594</v>
      </c>
      <c r="I397" s="15">
        <v>350.84912586212101</v>
      </c>
      <c r="J397" s="16" t="s">
        <v>333</v>
      </c>
      <c r="K397" s="12">
        <v>40.0586190223693</v>
      </c>
      <c r="L397" s="12">
        <v>595.10197798587899</v>
      </c>
      <c r="M397" s="12" t="s">
        <v>190</v>
      </c>
    </row>
    <row r="398" spans="1:13" hidden="1" x14ac:dyDescent="0.2">
      <c r="A398" s="11" t="s">
        <v>283</v>
      </c>
      <c r="B398" s="12" t="s">
        <v>34</v>
      </c>
      <c r="C398" s="12" t="s">
        <v>190</v>
      </c>
      <c r="D398" s="12">
        <v>30</v>
      </c>
      <c r="E398" s="12">
        <v>4</v>
      </c>
      <c r="F398" s="12">
        <v>2</v>
      </c>
      <c r="G398" s="12">
        <v>7</v>
      </c>
      <c r="H398" s="14">
        <v>592.13787113389299</v>
      </c>
      <c r="I398" s="15">
        <v>31.692754983901899</v>
      </c>
      <c r="J398" s="16" t="s">
        <v>333</v>
      </c>
      <c r="K398" s="12">
        <v>56.8837728500366</v>
      </c>
      <c r="L398" s="12">
        <v>554.97510150857397</v>
      </c>
      <c r="M398" s="12" t="s">
        <v>191</v>
      </c>
    </row>
    <row r="399" spans="1:13" hidden="1" x14ac:dyDescent="0.2">
      <c r="A399" s="11" t="s">
        <v>286</v>
      </c>
      <c r="B399" s="12" t="s">
        <v>34</v>
      </c>
      <c r="C399" s="12" t="s">
        <v>191</v>
      </c>
      <c r="D399" s="12">
        <v>30</v>
      </c>
      <c r="E399" s="12">
        <v>7</v>
      </c>
      <c r="F399" s="12">
        <v>4</v>
      </c>
      <c r="G399" s="12">
        <v>6</v>
      </c>
      <c r="H399" s="14">
        <v>554.97510150857397</v>
      </c>
      <c r="I399" s="15">
        <v>53.792993068694997</v>
      </c>
      <c r="J399" s="16" t="s">
        <v>333</v>
      </c>
      <c r="K399" s="12">
        <v>250.08594417571999</v>
      </c>
      <c r="L399" s="12">
        <v>578.67001386192806</v>
      </c>
      <c r="M399" s="12" t="s">
        <v>192</v>
      </c>
    </row>
    <row r="400" spans="1:13" hidden="1" x14ac:dyDescent="0.2">
      <c r="A400" s="11" t="s">
        <v>199</v>
      </c>
      <c r="B400" s="12" t="s">
        <v>34</v>
      </c>
      <c r="C400" s="12" t="s">
        <v>192</v>
      </c>
      <c r="D400" s="12">
        <v>30</v>
      </c>
      <c r="E400" s="12">
        <v>9</v>
      </c>
      <c r="F400" s="12">
        <v>5</v>
      </c>
      <c r="G400" s="12">
        <v>6</v>
      </c>
      <c r="H400" s="14">
        <v>584.223321963383</v>
      </c>
      <c r="I400" s="15">
        <v>200.883203983306</v>
      </c>
      <c r="J400" s="16" t="s">
        <v>333</v>
      </c>
      <c r="K400" s="12">
        <v>36.852864980697603</v>
      </c>
      <c r="L400" s="12">
        <v>593.79201706580398</v>
      </c>
      <c r="M400" s="12" t="s">
        <v>193</v>
      </c>
    </row>
    <row r="401" spans="1:13" hidden="1" x14ac:dyDescent="0.2">
      <c r="A401" s="11" t="s">
        <v>116</v>
      </c>
      <c r="B401" s="12" t="s">
        <v>34</v>
      </c>
      <c r="C401" s="12" t="s">
        <v>193</v>
      </c>
      <c r="D401" s="12">
        <v>30</v>
      </c>
      <c r="E401" s="12">
        <v>4</v>
      </c>
      <c r="F401" s="12">
        <v>2</v>
      </c>
      <c r="G401" s="12">
        <v>8</v>
      </c>
      <c r="H401" s="14">
        <v>593.79201706580398</v>
      </c>
      <c r="I401" s="15">
        <v>38.332103967666598</v>
      </c>
      <c r="J401" s="16" t="s">
        <v>333</v>
      </c>
      <c r="K401" s="12">
        <v>61.712238073348999</v>
      </c>
      <c r="L401" s="12">
        <v>555.82746540212497</v>
      </c>
      <c r="M401" s="12" t="s">
        <v>194</v>
      </c>
    </row>
    <row r="402" spans="1:13" hidden="1" x14ac:dyDescent="0.2">
      <c r="A402" s="11" t="s">
        <v>291</v>
      </c>
      <c r="B402" s="12" t="s">
        <v>34</v>
      </c>
      <c r="C402" s="12" t="s">
        <v>194</v>
      </c>
      <c r="D402" s="12">
        <v>30</v>
      </c>
      <c r="E402" s="12">
        <v>7</v>
      </c>
      <c r="F402" s="12">
        <v>4</v>
      </c>
      <c r="G402" s="12">
        <v>6</v>
      </c>
      <c r="H402" s="14">
        <v>585.75</v>
      </c>
      <c r="I402" s="15">
        <v>47.476520999999998</v>
      </c>
      <c r="J402" s="16" t="s">
        <v>333</v>
      </c>
      <c r="K402" s="12">
        <v>221.35397911071701</v>
      </c>
      <c r="L402" s="12">
        <v>590.10712208380301</v>
      </c>
      <c r="M402" s="12" t="s">
        <v>195</v>
      </c>
    </row>
    <row r="403" spans="1:13" hidden="1" x14ac:dyDescent="0.2">
      <c r="A403" s="11" t="s">
        <v>248</v>
      </c>
      <c r="B403" s="12" t="s">
        <v>34</v>
      </c>
      <c r="C403" s="12" t="s">
        <v>195</v>
      </c>
      <c r="D403" s="12">
        <v>30</v>
      </c>
      <c r="E403" s="12">
        <v>9</v>
      </c>
      <c r="F403" s="12">
        <v>5</v>
      </c>
      <c r="G403" s="12">
        <v>6</v>
      </c>
      <c r="H403" s="14">
        <v>607.99276142051599</v>
      </c>
      <c r="I403" s="15">
        <v>104.043444871902</v>
      </c>
      <c r="J403" s="16" t="s">
        <v>333</v>
      </c>
      <c r="K403" s="12">
        <v>61.349334001541102</v>
      </c>
      <c r="L403" s="12">
        <v>595.85638509707599</v>
      </c>
      <c r="M403" s="12" t="s">
        <v>197</v>
      </c>
    </row>
    <row r="404" spans="1:13" hidden="1" x14ac:dyDescent="0.2">
      <c r="A404" s="11" t="s">
        <v>196</v>
      </c>
      <c r="B404" s="12" t="s">
        <v>34</v>
      </c>
      <c r="C404" s="12" t="s">
        <v>197</v>
      </c>
      <c r="D404" s="12">
        <v>30</v>
      </c>
      <c r="E404" s="12">
        <v>4</v>
      </c>
      <c r="F404" s="12">
        <v>2</v>
      </c>
      <c r="G404" s="12">
        <v>7</v>
      </c>
      <c r="H404" s="14">
        <v>595.85638509707599</v>
      </c>
      <c r="I404" s="15">
        <v>70.002773046493502</v>
      </c>
      <c r="J404" s="16" t="s">
        <v>333</v>
      </c>
      <c r="K404" s="12">
        <v>74.745916128158498</v>
      </c>
      <c r="L404" s="12">
        <v>484.49302925266102</v>
      </c>
      <c r="M404" s="12" t="s">
        <v>198</v>
      </c>
    </row>
    <row r="405" spans="1:13" hidden="1" x14ac:dyDescent="0.2">
      <c r="A405" s="11" t="s">
        <v>295</v>
      </c>
      <c r="B405" s="12" t="s">
        <v>34</v>
      </c>
      <c r="C405" s="12" t="s">
        <v>198</v>
      </c>
      <c r="D405" s="12">
        <v>30</v>
      </c>
      <c r="E405" s="12">
        <v>7</v>
      </c>
      <c r="F405" s="12">
        <v>4</v>
      </c>
      <c r="G405" s="12">
        <v>6</v>
      </c>
      <c r="H405" s="14">
        <v>546.80184661080705</v>
      </c>
      <c r="I405" s="15">
        <v>45.279902935027998</v>
      </c>
      <c r="J405" s="16" t="s">
        <v>333</v>
      </c>
      <c r="K405" s="12">
        <v>1066.47065305709</v>
      </c>
      <c r="L405" s="12">
        <v>579.970793506929</v>
      </c>
      <c r="M405" s="12" t="s">
        <v>200</v>
      </c>
    </row>
    <row r="406" spans="1:13" hidden="1" x14ac:dyDescent="0.2">
      <c r="A406" s="11" t="s">
        <v>287</v>
      </c>
      <c r="B406" s="12" t="s">
        <v>34</v>
      </c>
      <c r="C406" s="12" t="s">
        <v>200</v>
      </c>
      <c r="D406" s="12">
        <v>30</v>
      </c>
      <c r="E406" s="12">
        <v>9</v>
      </c>
      <c r="F406" s="12">
        <v>5</v>
      </c>
      <c r="G406" s="12">
        <v>7</v>
      </c>
      <c r="H406" s="14">
        <v>611.22511539240998</v>
      </c>
      <c r="I406" s="15">
        <v>974.05720305442799</v>
      </c>
      <c r="J406" s="16" t="s">
        <v>333</v>
      </c>
    </row>
    <row r="407" spans="1:13" hidden="1" x14ac:dyDescent="0.2">
      <c r="A407" s="11" t="s">
        <v>196</v>
      </c>
      <c r="B407" s="12" t="s">
        <v>34</v>
      </c>
      <c r="C407" s="12" t="s">
        <v>202</v>
      </c>
      <c r="D407" s="12">
        <v>50</v>
      </c>
      <c r="E407" s="12">
        <v>4</v>
      </c>
      <c r="F407" s="12">
        <v>2</v>
      </c>
      <c r="G407" s="12">
        <v>12</v>
      </c>
      <c r="H407" s="14">
        <v>859.43</v>
      </c>
      <c r="I407" s="15">
        <v>54.066254999999998</v>
      </c>
      <c r="J407" s="16" t="s">
        <v>333</v>
      </c>
    </row>
    <row r="408" spans="1:13" hidden="1" x14ac:dyDescent="0.2">
      <c r="A408" s="11" t="s">
        <v>218</v>
      </c>
      <c r="B408" s="12" t="s">
        <v>34</v>
      </c>
      <c r="C408" s="12" t="s">
        <v>204</v>
      </c>
      <c r="D408" s="12">
        <v>50</v>
      </c>
      <c r="E408" s="12">
        <v>7</v>
      </c>
      <c r="F408" s="12">
        <v>4</v>
      </c>
      <c r="G408" s="12">
        <v>10</v>
      </c>
      <c r="H408" s="14">
        <v>747.15817166929605</v>
      </c>
      <c r="I408" s="15">
        <v>3181.81547880172</v>
      </c>
      <c r="J408" s="16" t="s">
        <v>333</v>
      </c>
    </row>
    <row r="409" spans="1:13" hidden="1" x14ac:dyDescent="0.2">
      <c r="A409" s="11" t="s">
        <v>137</v>
      </c>
      <c r="B409" s="12" t="s">
        <v>34</v>
      </c>
      <c r="C409" s="12" t="s">
        <v>206</v>
      </c>
      <c r="D409" s="12">
        <v>50</v>
      </c>
      <c r="E409" s="12">
        <v>9</v>
      </c>
      <c r="F409" s="12">
        <v>5</v>
      </c>
      <c r="G409" s="12">
        <v>10</v>
      </c>
      <c r="H409" s="14">
        <v>824.00658545678903</v>
      </c>
      <c r="I409" s="15">
        <v>448.394294977188</v>
      </c>
      <c r="J409" s="16" t="s">
        <v>333</v>
      </c>
    </row>
    <row r="410" spans="1:13" hidden="1" x14ac:dyDescent="0.2">
      <c r="A410" s="11"/>
      <c r="B410" s="12" t="s">
        <v>34</v>
      </c>
      <c r="C410" s="12" t="s">
        <v>207</v>
      </c>
      <c r="D410" s="12">
        <v>50</v>
      </c>
      <c r="E410" s="12">
        <v>4</v>
      </c>
      <c r="F410" s="12">
        <v>2</v>
      </c>
      <c r="G410" s="12">
        <v>12</v>
      </c>
      <c r="H410" s="14">
        <v>929.59586886478803</v>
      </c>
      <c r="I410" s="15">
        <v>314.22841501235899</v>
      </c>
      <c r="J410" s="16" t="s">
        <v>333</v>
      </c>
    </row>
    <row r="411" spans="1:13" hidden="1" x14ac:dyDescent="0.2">
      <c r="A411" s="11"/>
      <c r="B411" s="12" t="s">
        <v>34</v>
      </c>
      <c r="C411" s="12" t="s">
        <v>208</v>
      </c>
      <c r="D411" s="12">
        <v>50</v>
      </c>
      <c r="E411" s="12">
        <v>7</v>
      </c>
      <c r="F411" s="12">
        <v>4</v>
      </c>
      <c r="G411" s="12">
        <v>10</v>
      </c>
      <c r="H411" s="14">
        <v>744.25675699009105</v>
      </c>
      <c r="I411" s="15">
        <v>115.629920959472</v>
      </c>
      <c r="J411" s="16" t="s">
        <v>333</v>
      </c>
    </row>
    <row r="412" spans="1:13" hidden="1" x14ac:dyDescent="0.2">
      <c r="A412" s="11" t="s">
        <v>276</v>
      </c>
      <c r="B412" s="12" t="s">
        <v>34</v>
      </c>
      <c r="C412" s="12" t="s">
        <v>210</v>
      </c>
      <c r="D412" s="12">
        <v>50</v>
      </c>
      <c r="E412" s="12">
        <v>9</v>
      </c>
      <c r="F412" s="12">
        <v>5</v>
      </c>
      <c r="G412" s="12">
        <v>9</v>
      </c>
      <c r="H412" s="14">
        <v>858.60473819126003</v>
      </c>
      <c r="I412" s="15">
        <v>3451.2063241004898</v>
      </c>
      <c r="J412" s="16" t="s">
        <v>333</v>
      </c>
    </row>
    <row r="413" spans="1:13" hidden="1" x14ac:dyDescent="0.2">
      <c r="A413" s="11" t="s">
        <v>276</v>
      </c>
      <c r="B413" s="12" t="s">
        <v>34</v>
      </c>
      <c r="C413" s="12" t="s">
        <v>213</v>
      </c>
      <c r="D413" s="12">
        <v>50</v>
      </c>
      <c r="E413" s="12">
        <v>4</v>
      </c>
      <c r="F413" s="12">
        <v>2</v>
      </c>
      <c r="G413" s="12">
        <v>12</v>
      </c>
      <c r="H413" s="14">
        <v>927.16749168362298</v>
      </c>
      <c r="I413" s="15">
        <v>12543.104380130701</v>
      </c>
      <c r="J413" s="16" t="s">
        <v>333</v>
      </c>
    </row>
    <row r="414" spans="1:13" hidden="1" x14ac:dyDescent="0.2">
      <c r="A414" s="11" t="s">
        <v>276</v>
      </c>
      <c r="B414" s="12" t="s">
        <v>34</v>
      </c>
      <c r="C414" s="12" t="s">
        <v>215</v>
      </c>
      <c r="D414" s="12">
        <v>50</v>
      </c>
      <c r="E414" s="12">
        <v>7</v>
      </c>
      <c r="F414" s="12">
        <v>4</v>
      </c>
      <c r="G414" s="12">
        <v>9</v>
      </c>
      <c r="H414" s="14">
        <v>707.04993703262801</v>
      </c>
      <c r="I414" s="15">
        <v>8894.4809548854792</v>
      </c>
      <c r="J414" s="16" t="s">
        <v>333</v>
      </c>
    </row>
    <row r="415" spans="1:13" hidden="1" x14ac:dyDescent="0.2">
      <c r="A415" s="11" t="s">
        <v>276</v>
      </c>
      <c r="B415" s="12" t="s">
        <v>34</v>
      </c>
      <c r="C415" s="12" t="s">
        <v>217</v>
      </c>
      <c r="D415" s="12">
        <v>50</v>
      </c>
      <c r="E415" s="12">
        <v>9</v>
      </c>
      <c r="F415" s="12">
        <v>5</v>
      </c>
      <c r="G415" s="12">
        <v>10</v>
      </c>
      <c r="H415" s="14">
        <v>823.66565260048503</v>
      </c>
      <c r="I415" s="15">
        <v>474.86607408523503</v>
      </c>
      <c r="J415" s="16" t="s">
        <v>333</v>
      </c>
    </row>
    <row r="416" spans="1:13" hidden="1" x14ac:dyDescent="0.2">
      <c r="A416" s="11" t="s">
        <v>276</v>
      </c>
      <c r="B416" s="12" t="s">
        <v>34</v>
      </c>
      <c r="C416" s="12" t="s">
        <v>219</v>
      </c>
      <c r="D416" s="12">
        <v>50</v>
      </c>
      <c r="E416" s="12">
        <v>4</v>
      </c>
      <c r="F416" s="12">
        <v>2</v>
      </c>
      <c r="G416" s="12">
        <v>12</v>
      </c>
      <c r="H416" s="14">
        <v>863.44330608101404</v>
      </c>
      <c r="I416" s="15">
        <v>333.08691906928999</v>
      </c>
      <c r="J416" s="16" t="s">
        <v>333</v>
      </c>
    </row>
    <row r="417" spans="1:10" hidden="1" x14ac:dyDescent="0.2">
      <c r="A417" s="11"/>
      <c r="B417" s="12" t="s">
        <v>34</v>
      </c>
      <c r="C417" s="12" t="s">
        <v>221</v>
      </c>
      <c r="D417" s="12">
        <v>50</v>
      </c>
      <c r="E417" s="12">
        <v>7</v>
      </c>
      <c r="F417" s="12">
        <v>4</v>
      </c>
      <c r="G417" s="12">
        <v>9</v>
      </c>
      <c r="H417" s="14">
        <v>732.07830938304699</v>
      </c>
      <c r="I417" s="15">
        <v>894.12492990493695</v>
      </c>
      <c r="J417" s="16" t="s">
        <v>333</v>
      </c>
    </row>
    <row r="418" spans="1:10" hidden="1" x14ac:dyDescent="0.2">
      <c r="A418" s="11"/>
      <c r="B418" s="12" t="s">
        <v>34</v>
      </c>
      <c r="C418" s="12" t="s">
        <v>223</v>
      </c>
      <c r="D418" s="12">
        <v>50</v>
      </c>
      <c r="E418" s="12">
        <v>9</v>
      </c>
      <c r="F418" s="12">
        <v>5</v>
      </c>
      <c r="G418" s="12">
        <v>9</v>
      </c>
      <c r="H418" s="14">
        <v>762.23950468851501</v>
      </c>
      <c r="I418" s="15">
        <v>194.29918193817099</v>
      </c>
      <c r="J418" s="16" t="s">
        <v>333</v>
      </c>
    </row>
    <row r="419" spans="1:10" hidden="1" x14ac:dyDescent="0.2">
      <c r="A419" s="11" t="s">
        <v>302</v>
      </c>
      <c r="B419" s="12" t="s">
        <v>34</v>
      </c>
      <c r="C419" s="12" t="s">
        <v>225</v>
      </c>
      <c r="D419" s="12">
        <v>50</v>
      </c>
      <c r="E419" s="12">
        <v>4</v>
      </c>
      <c r="F419" s="12">
        <v>2</v>
      </c>
      <c r="G419" s="12">
        <v>11</v>
      </c>
      <c r="H419" s="14">
        <v>857.03541608793603</v>
      </c>
      <c r="I419" s="15">
        <v>190.60133385658199</v>
      </c>
      <c r="J419" s="16" t="s">
        <v>333</v>
      </c>
    </row>
    <row r="420" spans="1:10" hidden="1" x14ac:dyDescent="0.2">
      <c r="A420" s="11" t="s">
        <v>302</v>
      </c>
      <c r="B420" s="12" t="s">
        <v>34</v>
      </c>
      <c r="C420" s="12" t="s">
        <v>226</v>
      </c>
      <c r="D420" s="12">
        <v>50</v>
      </c>
      <c r="E420" s="12">
        <v>7</v>
      </c>
      <c r="F420" s="12">
        <v>4</v>
      </c>
      <c r="G420" s="12">
        <v>9</v>
      </c>
      <c r="H420" s="14">
        <v>728.449915009915</v>
      </c>
      <c r="I420" s="15">
        <v>337.76176190376202</v>
      </c>
      <c r="J420" s="16" t="s">
        <v>333</v>
      </c>
    </row>
    <row r="421" spans="1:10" hidden="1" x14ac:dyDescent="0.2">
      <c r="A421" s="11" t="s">
        <v>302</v>
      </c>
      <c r="B421" s="12" t="s">
        <v>34</v>
      </c>
      <c r="C421" s="12" t="s">
        <v>228</v>
      </c>
      <c r="D421" s="12">
        <v>50</v>
      </c>
      <c r="E421" s="12">
        <v>9</v>
      </c>
      <c r="F421" s="12">
        <v>5</v>
      </c>
      <c r="G421" s="12">
        <v>9</v>
      </c>
      <c r="H421" s="14">
        <v>815.99948946972995</v>
      </c>
      <c r="I421" s="15">
        <v>9417.4106798171997</v>
      </c>
      <c r="J421" s="16" t="s">
        <v>333</v>
      </c>
    </row>
    <row r="422" spans="1:10" hidden="1" x14ac:dyDescent="0.2">
      <c r="A422" s="11"/>
      <c r="B422" s="12" t="s">
        <v>34</v>
      </c>
      <c r="C422" s="12" t="s">
        <v>231</v>
      </c>
      <c r="D422" s="12">
        <v>50</v>
      </c>
      <c r="E422" s="12">
        <v>7</v>
      </c>
      <c r="F422" s="12">
        <v>4</v>
      </c>
      <c r="G422" s="12">
        <v>9</v>
      </c>
      <c r="H422" s="14">
        <v>731.301627342247</v>
      </c>
      <c r="I422" s="15">
        <v>12179.718178987499</v>
      </c>
      <c r="J422" s="16" t="s">
        <v>333</v>
      </c>
    </row>
    <row r="423" spans="1:10" hidden="1" x14ac:dyDescent="0.2">
      <c r="A423" s="11" t="s">
        <v>302</v>
      </c>
      <c r="B423" s="12" t="s">
        <v>34</v>
      </c>
      <c r="C423" s="12" t="s">
        <v>232</v>
      </c>
      <c r="D423" s="12">
        <v>50</v>
      </c>
      <c r="E423" s="12">
        <v>9</v>
      </c>
      <c r="F423" s="12">
        <v>5</v>
      </c>
      <c r="G423" s="12">
        <v>9</v>
      </c>
      <c r="H423" s="14">
        <v>847.96855174017901</v>
      </c>
      <c r="I423" s="15">
        <v>974.75892806053105</v>
      </c>
      <c r="J423" s="16" t="s">
        <v>333</v>
      </c>
    </row>
    <row r="424" spans="1:10" hidden="1" x14ac:dyDescent="0.2">
      <c r="A424" s="11"/>
      <c r="B424" s="12" t="s">
        <v>34</v>
      </c>
      <c r="C424" s="12" t="s">
        <v>235</v>
      </c>
      <c r="D424" s="12">
        <v>50</v>
      </c>
      <c r="E424" s="12">
        <v>4</v>
      </c>
      <c r="F424" s="12">
        <v>2</v>
      </c>
      <c r="G424" s="12">
        <v>10</v>
      </c>
      <c r="H424" s="14">
        <v>871.40551925465002</v>
      </c>
      <c r="I424" s="15">
        <v>3611.0941519737198</v>
      </c>
      <c r="J424" s="16" t="s">
        <v>333</v>
      </c>
    </row>
    <row r="425" spans="1:10" hidden="1" x14ac:dyDescent="0.2">
      <c r="A425" s="11"/>
      <c r="B425" s="12" t="s">
        <v>34</v>
      </c>
      <c r="C425" s="12" t="s">
        <v>237</v>
      </c>
      <c r="D425" s="12">
        <v>50</v>
      </c>
      <c r="E425" s="12">
        <v>7</v>
      </c>
      <c r="F425" s="12">
        <v>4</v>
      </c>
      <c r="G425" s="12">
        <v>10</v>
      </c>
      <c r="H425" s="14">
        <v>766.43645298435899</v>
      </c>
      <c r="I425" s="15">
        <v>2862.5874822139699</v>
      </c>
      <c r="J425" s="16" t="s">
        <v>333</v>
      </c>
    </row>
    <row r="426" spans="1:10" hidden="1" x14ac:dyDescent="0.2">
      <c r="A426" s="11"/>
      <c r="B426" s="12" t="s">
        <v>34</v>
      </c>
      <c r="C426" s="12" t="s">
        <v>240</v>
      </c>
      <c r="D426" s="12">
        <v>50</v>
      </c>
      <c r="E426" s="12">
        <v>9</v>
      </c>
      <c r="F426" s="12">
        <v>5</v>
      </c>
      <c r="G426" s="12">
        <v>10</v>
      </c>
      <c r="H426" s="14">
        <v>899.32649235537497</v>
      </c>
      <c r="I426" s="15">
        <v>4483.4678268432599</v>
      </c>
      <c r="J426" s="16" t="s">
        <v>333</v>
      </c>
    </row>
    <row r="427" spans="1:10" hidden="1" x14ac:dyDescent="0.2">
      <c r="A427" s="11"/>
      <c r="B427" s="12" t="s">
        <v>34</v>
      </c>
      <c r="C427" s="12" t="s">
        <v>241</v>
      </c>
      <c r="D427" s="12">
        <v>50</v>
      </c>
      <c r="E427" s="12">
        <v>4</v>
      </c>
      <c r="F427" s="12">
        <v>2</v>
      </c>
      <c r="G427" s="12">
        <v>12</v>
      </c>
      <c r="H427" s="14">
        <v>930.55575742158896</v>
      </c>
      <c r="I427" s="15">
        <v>855.77011799812306</v>
      </c>
      <c r="J427" s="16" t="s">
        <v>333</v>
      </c>
    </row>
    <row r="428" spans="1:10" hidden="1" x14ac:dyDescent="0.2">
      <c r="A428" s="11"/>
      <c r="B428" s="12" t="s">
        <v>34</v>
      </c>
      <c r="C428" s="12" t="s">
        <v>243</v>
      </c>
      <c r="D428" s="12">
        <v>50</v>
      </c>
      <c r="E428" s="12">
        <v>7</v>
      </c>
      <c r="F428" s="12">
        <v>4</v>
      </c>
      <c r="G428" s="12">
        <v>10</v>
      </c>
      <c r="H428" s="14">
        <v>740.69135501730602</v>
      </c>
      <c r="I428" s="15">
        <v>1930.9847068786601</v>
      </c>
      <c r="J428" s="16" t="s">
        <v>333</v>
      </c>
    </row>
    <row r="429" spans="1:10" hidden="1" x14ac:dyDescent="0.2">
      <c r="A429" s="11"/>
      <c r="B429" s="12" t="s">
        <v>34</v>
      </c>
      <c r="C429" s="12" t="s">
        <v>244</v>
      </c>
      <c r="D429" s="12">
        <v>50</v>
      </c>
      <c r="E429" s="12">
        <v>9</v>
      </c>
      <c r="F429" s="12">
        <v>5</v>
      </c>
      <c r="G429" s="12">
        <v>9</v>
      </c>
      <c r="H429" s="14">
        <v>848.37770866588596</v>
      </c>
      <c r="I429" s="15">
        <v>494.38994908332802</v>
      </c>
      <c r="J429" s="16" t="s">
        <v>333</v>
      </c>
    </row>
    <row r="430" spans="1:10" hidden="1" x14ac:dyDescent="0.2">
      <c r="A430" s="11" t="s">
        <v>302</v>
      </c>
      <c r="B430" s="12" t="s">
        <v>34</v>
      </c>
      <c r="C430" s="12" t="s">
        <v>245</v>
      </c>
      <c r="D430" s="12">
        <v>50</v>
      </c>
      <c r="E430" s="12">
        <v>4</v>
      </c>
      <c r="F430" s="12">
        <v>2</v>
      </c>
      <c r="G430" s="12">
        <v>11</v>
      </c>
      <c r="H430" s="14">
        <v>870.25650037795697</v>
      </c>
      <c r="I430" s="15">
        <v>598.93392610549904</v>
      </c>
      <c r="J430" s="16" t="s">
        <v>333</v>
      </c>
    </row>
    <row r="431" spans="1:10" hidden="1" x14ac:dyDescent="0.2">
      <c r="A431" s="11"/>
      <c r="B431" s="12" t="s">
        <v>34</v>
      </c>
      <c r="C431" s="12" t="s">
        <v>247</v>
      </c>
      <c r="D431" s="12">
        <v>50</v>
      </c>
      <c r="E431" s="12">
        <v>7</v>
      </c>
      <c r="F431" s="12">
        <v>4</v>
      </c>
      <c r="G431" s="12">
        <v>10</v>
      </c>
      <c r="H431" s="14">
        <v>734.23864775306902</v>
      </c>
      <c r="I431" s="15">
        <v>1627.2004790306</v>
      </c>
      <c r="J431" s="16" t="s">
        <v>333</v>
      </c>
    </row>
    <row r="432" spans="1:10" hidden="1" x14ac:dyDescent="0.2">
      <c r="A432" s="11" t="s">
        <v>302</v>
      </c>
      <c r="B432" s="12" t="s">
        <v>34</v>
      </c>
      <c r="C432" s="12" t="s">
        <v>249</v>
      </c>
      <c r="D432" s="12">
        <v>50</v>
      </c>
      <c r="E432" s="12">
        <v>9</v>
      </c>
      <c r="F432" s="12">
        <v>5</v>
      </c>
      <c r="G432" s="12">
        <v>9</v>
      </c>
      <c r="H432" s="14">
        <v>786.92363424163705</v>
      </c>
      <c r="I432" s="15">
        <v>3183.66375017166</v>
      </c>
      <c r="J432" s="16" t="s">
        <v>333</v>
      </c>
    </row>
    <row r="433" spans="1:10" hidden="1" x14ac:dyDescent="0.2">
      <c r="A433" s="11"/>
      <c r="B433" s="12" t="s">
        <v>34</v>
      </c>
      <c r="C433" s="12" t="s">
        <v>251</v>
      </c>
      <c r="D433" s="12">
        <v>50</v>
      </c>
      <c r="E433" s="12">
        <v>4</v>
      </c>
      <c r="F433" s="12">
        <v>2</v>
      </c>
      <c r="G433" s="12">
        <v>11</v>
      </c>
      <c r="H433" s="14">
        <v>884.61248507040705</v>
      </c>
      <c r="I433" s="15">
        <v>390.30421209335299</v>
      </c>
      <c r="J433" s="16" t="s">
        <v>333</v>
      </c>
    </row>
    <row r="434" spans="1:10" hidden="1" x14ac:dyDescent="0.2">
      <c r="A434" s="11"/>
      <c r="B434" s="12" t="s">
        <v>34</v>
      </c>
      <c r="C434" s="12" t="s">
        <v>253</v>
      </c>
      <c r="D434" s="12">
        <v>50</v>
      </c>
      <c r="E434" s="12">
        <v>7</v>
      </c>
      <c r="F434" s="12">
        <v>4</v>
      </c>
      <c r="G434" s="12">
        <v>9</v>
      </c>
      <c r="H434" s="14">
        <v>742.21627896121799</v>
      </c>
      <c r="I434" s="15">
        <v>14220.7698628902</v>
      </c>
      <c r="J434" s="16" t="s">
        <v>333</v>
      </c>
    </row>
    <row r="435" spans="1:10" hidden="1" x14ac:dyDescent="0.2">
      <c r="A435" s="11"/>
      <c r="B435" s="12" t="s">
        <v>34</v>
      </c>
      <c r="C435" s="12" t="s">
        <v>255</v>
      </c>
      <c r="D435" s="12">
        <v>50</v>
      </c>
      <c r="E435" s="12">
        <v>9</v>
      </c>
      <c r="F435" s="12">
        <v>5</v>
      </c>
      <c r="G435" s="12">
        <v>9</v>
      </c>
      <c r="H435" s="14">
        <v>869.16078433570704</v>
      </c>
      <c r="I435" s="15">
        <v>2629.3267619609801</v>
      </c>
      <c r="J435" s="16" t="s">
        <v>333</v>
      </c>
    </row>
    <row r="436" spans="1:10" hidden="1" x14ac:dyDescent="0.2">
      <c r="A436" s="11"/>
      <c r="B436" s="12" t="s">
        <v>34</v>
      </c>
      <c r="C436" s="12" t="s">
        <v>257</v>
      </c>
      <c r="D436" s="12">
        <v>50</v>
      </c>
      <c r="E436" s="12">
        <v>4</v>
      </c>
      <c r="F436" s="12">
        <v>2</v>
      </c>
      <c r="G436" s="12">
        <v>11</v>
      </c>
      <c r="H436" s="14">
        <v>830.37386602136405</v>
      </c>
      <c r="I436" s="15">
        <v>2394.92121076583</v>
      </c>
      <c r="J436" s="16" t="s">
        <v>333</v>
      </c>
    </row>
    <row r="437" spans="1:10" hidden="1" x14ac:dyDescent="0.2">
      <c r="A437" s="11"/>
      <c r="B437" s="12" t="s">
        <v>34</v>
      </c>
      <c r="C437" s="12" t="s">
        <v>260</v>
      </c>
      <c r="D437" s="12">
        <v>50</v>
      </c>
      <c r="E437" s="12">
        <v>7</v>
      </c>
      <c r="F437" s="12">
        <v>4</v>
      </c>
      <c r="G437" s="12">
        <v>9</v>
      </c>
      <c r="H437" s="14">
        <v>724.63172480827302</v>
      </c>
      <c r="I437" s="15">
        <v>11493.957420110701</v>
      </c>
      <c r="J437" s="16" t="s">
        <v>333</v>
      </c>
    </row>
    <row r="438" spans="1:10" hidden="1" x14ac:dyDescent="0.2">
      <c r="A438" s="11" t="s">
        <v>302</v>
      </c>
      <c r="B438" s="12" t="s">
        <v>34</v>
      </c>
      <c r="C438" s="12" t="s">
        <v>261</v>
      </c>
      <c r="D438" s="12">
        <v>50</v>
      </c>
      <c r="E438" s="12">
        <v>9</v>
      </c>
      <c r="F438" s="12">
        <v>5</v>
      </c>
      <c r="G438" s="12">
        <v>9</v>
      </c>
      <c r="H438" s="14"/>
      <c r="I438" s="15"/>
      <c r="J438" s="16"/>
    </row>
    <row r="439" spans="1:10" hidden="1" x14ac:dyDescent="0.2">
      <c r="A439" s="11" t="s">
        <v>302</v>
      </c>
      <c r="B439" s="12" t="s">
        <v>34</v>
      </c>
      <c r="C439" s="12" t="s">
        <v>262</v>
      </c>
      <c r="D439" s="12">
        <v>50</v>
      </c>
      <c r="E439" s="12">
        <v>4</v>
      </c>
      <c r="F439" s="12">
        <v>2</v>
      </c>
      <c r="G439" s="12">
        <v>11</v>
      </c>
      <c r="H439" s="14">
        <v>869.40557456206898</v>
      </c>
      <c r="I439" s="15">
        <v>1664.9458959102601</v>
      </c>
      <c r="J439" s="16" t="s">
        <v>333</v>
      </c>
    </row>
    <row r="440" spans="1:10" hidden="1" x14ac:dyDescent="0.2">
      <c r="A440" s="11" t="s">
        <v>233</v>
      </c>
      <c r="B440" s="12" t="s">
        <v>34</v>
      </c>
      <c r="C440" s="12" t="s">
        <v>263</v>
      </c>
      <c r="D440" s="12">
        <v>50</v>
      </c>
      <c r="E440" s="12">
        <v>7</v>
      </c>
      <c r="F440" s="12">
        <v>4</v>
      </c>
      <c r="G440" s="12">
        <v>10</v>
      </c>
      <c r="H440" s="14">
        <v>720.65131037196397</v>
      </c>
      <c r="I440" s="15">
        <v>676.48095297813404</v>
      </c>
      <c r="J440" s="16" t="s">
        <v>333</v>
      </c>
    </row>
    <row r="441" spans="1:10" hidden="1" x14ac:dyDescent="0.2">
      <c r="A441" s="11" t="s">
        <v>233</v>
      </c>
      <c r="B441" s="12" t="s">
        <v>34</v>
      </c>
      <c r="C441" s="12" t="s">
        <v>264</v>
      </c>
      <c r="D441" s="12">
        <v>50</v>
      </c>
      <c r="E441" s="12">
        <v>9</v>
      </c>
      <c r="F441" s="12">
        <v>5</v>
      </c>
      <c r="G441" s="12">
        <v>9</v>
      </c>
      <c r="H441" s="14"/>
      <c r="I441" s="15"/>
      <c r="J441" s="16"/>
    </row>
    <row r="442" spans="1:10" hidden="1" x14ac:dyDescent="0.2">
      <c r="A442" s="11"/>
      <c r="B442" s="12" t="s">
        <v>34</v>
      </c>
      <c r="C442" s="12" t="s">
        <v>265</v>
      </c>
      <c r="D442" s="12">
        <v>50</v>
      </c>
      <c r="E442" s="12">
        <v>7</v>
      </c>
      <c r="F442" s="12">
        <v>4</v>
      </c>
      <c r="G442" s="12">
        <v>10</v>
      </c>
      <c r="H442" s="14">
        <v>709.95094269190497</v>
      </c>
      <c r="I442" s="15">
        <v>3131.4531068801798</v>
      </c>
      <c r="J442" s="16" t="s">
        <v>333</v>
      </c>
    </row>
    <row r="443" spans="1:10" hidden="1" x14ac:dyDescent="0.2">
      <c r="A443" s="11"/>
      <c r="B443" s="12" t="s">
        <v>34</v>
      </c>
      <c r="C443" s="12" t="s">
        <v>267</v>
      </c>
      <c r="D443" s="12">
        <v>50</v>
      </c>
      <c r="E443" s="12">
        <v>9</v>
      </c>
      <c r="F443" s="12">
        <v>5</v>
      </c>
      <c r="G443" s="12">
        <v>10</v>
      </c>
      <c r="H443" s="14">
        <v>803.42212213271296</v>
      </c>
      <c r="I443" s="15">
        <v>12793.360829830101</v>
      </c>
      <c r="J443" s="16" t="s">
        <v>333</v>
      </c>
    </row>
    <row r="444" spans="1:10" hidden="1" x14ac:dyDescent="0.2">
      <c r="A444" s="11"/>
      <c r="B444" s="12" t="s">
        <v>34</v>
      </c>
      <c r="C444" s="12" t="s">
        <v>268</v>
      </c>
      <c r="D444" s="12">
        <v>50</v>
      </c>
      <c r="E444" s="12">
        <v>4</v>
      </c>
      <c r="F444" s="12">
        <v>2</v>
      </c>
      <c r="G444" s="12">
        <v>11</v>
      </c>
      <c r="H444" s="14"/>
      <c r="I444" s="15"/>
      <c r="J444" s="16"/>
    </row>
    <row r="445" spans="1:10" hidden="1" x14ac:dyDescent="0.2">
      <c r="A445" s="11"/>
      <c r="B445" s="12" t="s">
        <v>34</v>
      </c>
      <c r="C445" s="12" t="s">
        <v>270</v>
      </c>
      <c r="D445" s="12">
        <v>50</v>
      </c>
      <c r="E445" s="12">
        <v>7</v>
      </c>
      <c r="F445" s="12">
        <v>4</v>
      </c>
      <c r="G445" s="12">
        <v>10</v>
      </c>
      <c r="H445" s="14">
        <v>743.15016536224005</v>
      </c>
      <c r="I445" s="15">
        <v>6025.84588098526</v>
      </c>
      <c r="J445" s="16" t="s">
        <v>333</v>
      </c>
    </row>
    <row r="446" spans="1:10" hidden="1" x14ac:dyDescent="0.2">
      <c r="A446" s="11"/>
      <c r="B446" s="12" t="s">
        <v>34</v>
      </c>
      <c r="C446" s="12" t="s">
        <v>271</v>
      </c>
      <c r="D446" s="12">
        <v>50</v>
      </c>
      <c r="E446" s="12">
        <v>9</v>
      </c>
      <c r="F446" s="12">
        <v>5</v>
      </c>
      <c r="G446" s="12">
        <v>9</v>
      </c>
      <c r="H446" s="14">
        <v>734.63047636999499</v>
      </c>
      <c r="I446" s="15">
        <v>380.268425941467</v>
      </c>
      <c r="J446" s="16" t="s">
        <v>333</v>
      </c>
    </row>
    <row r="447" spans="1:10" hidden="1" x14ac:dyDescent="0.2">
      <c r="A447" s="11"/>
      <c r="B447" s="12" t="s">
        <v>34</v>
      </c>
      <c r="C447" s="12" t="s">
        <v>273</v>
      </c>
      <c r="D447" s="12">
        <v>50</v>
      </c>
      <c r="E447" s="12">
        <v>4</v>
      </c>
      <c r="F447" s="12">
        <v>2</v>
      </c>
      <c r="G447" s="12">
        <v>11</v>
      </c>
      <c r="H447" s="14">
        <v>843.66914797906202</v>
      </c>
      <c r="I447" s="15">
        <v>6880.2521209716797</v>
      </c>
      <c r="J447" s="16" t="s">
        <v>333</v>
      </c>
    </row>
    <row r="448" spans="1:10" hidden="1" x14ac:dyDescent="0.2">
      <c r="A448" s="11"/>
      <c r="B448" s="12" t="s">
        <v>34</v>
      </c>
      <c r="C448" s="12" t="s">
        <v>275</v>
      </c>
      <c r="D448" s="12">
        <v>50</v>
      </c>
      <c r="E448" s="12">
        <v>7</v>
      </c>
      <c r="F448" s="12">
        <v>4</v>
      </c>
      <c r="G448" s="12">
        <v>10</v>
      </c>
      <c r="H448" s="14">
        <v>734.29754159240201</v>
      </c>
      <c r="I448" s="15">
        <v>2261.2221651077198</v>
      </c>
      <c r="J448" s="16" t="s">
        <v>333</v>
      </c>
    </row>
    <row r="449" spans="1:10" hidden="1" x14ac:dyDescent="0.2">
      <c r="A449" s="11"/>
      <c r="B449" s="12" t="s">
        <v>34</v>
      </c>
      <c r="C449" s="12" t="s">
        <v>277</v>
      </c>
      <c r="D449" s="12">
        <v>50</v>
      </c>
      <c r="E449" s="12">
        <v>9</v>
      </c>
      <c r="F449" s="12">
        <v>5</v>
      </c>
      <c r="G449" s="12">
        <v>10</v>
      </c>
      <c r="H449" s="14"/>
      <c r="I449" s="15"/>
      <c r="J449" s="16"/>
    </row>
    <row r="450" spans="1:10" hidden="1" x14ac:dyDescent="0.2">
      <c r="A450" s="11"/>
      <c r="B450" s="12" t="s">
        <v>34</v>
      </c>
      <c r="C450" s="12" t="s">
        <v>278</v>
      </c>
      <c r="D450" s="12">
        <v>50</v>
      </c>
      <c r="E450" s="12">
        <v>4</v>
      </c>
      <c r="F450" s="12">
        <v>2</v>
      </c>
      <c r="G450" s="12">
        <v>11</v>
      </c>
      <c r="H450" s="14">
        <v>858.58239070955904</v>
      </c>
      <c r="I450" s="15">
        <v>54.238110065460198</v>
      </c>
      <c r="J450" s="16" t="s">
        <v>333</v>
      </c>
    </row>
    <row r="451" spans="1:10" hidden="1" x14ac:dyDescent="0.2">
      <c r="A451" s="11"/>
      <c r="B451" s="12" t="s">
        <v>34</v>
      </c>
      <c r="C451" s="12" t="s">
        <v>279</v>
      </c>
      <c r="D451" s="12">
        <v>50</v>
      </c>
      <c r="E451" s="12">
        <v>7</v>
      </c>
      <c r="F451" s="12">
        <v>4</v>
      </c>
      <c r="G451" s="12">
        <v>9</v>
      </c>
      <c r="H451" s="14"/>
      <c r="I451" s="15"/>
      <c r="J451" s="16"/>
    </row>
    <row r="452" spans="1:10" hidden="1" x14ac:dyDescent="0.2">
      <c r="A452" s="11" t="s">
        <v>233</v>
      </c>
      <c r="B452" s="12" t="s">
        <v>34</v>
      </c>
      <c r="C452" s="12" t="s">
        <v>280</v>
      </c>
      <c r="D452" s="12">
        <v>50</v>
      </c>
      <c r="E452" s="12">
        <v>9</v>
      </c>
      <c r="F452" s="12">
        <v>5</v>
      </c>
      <c r="G452" s="12">
        <v>9</v>
      </c>
      <c r="H452" s="14">
        <v>809.536833461691</v>
      </c>
      <c r="I452" s="15">
        <v>1068.5062518119801</v>
      </c>
      <c r="J452" s="16" t="s">
        <v>333</v>
      </c>
    </row>
    <row r="453" spans="1:10" hidden="1" x14ac:dyDescent="0.2">
      <c r="A453" s="11" t="s">
        <v>233</v>
      </c>
      <c r="B453" s="12" t="s">
        <v>34</v>
      </c>
      <c r="C453" s="12" t="s">
        <v>282</v>
      </c>
      <c r="D453" s="12">
        <v>50</v>
      </c>
      <c r="E453" s="12">
        <v>4</v>
      </c>
      <c r="F453" s="12">
        <v>2</v>
      </c>
      <c r="G453" s="12">
        <v>12</v>
      </c>
      <c r="H453" s="14">
        <v>945.78127214580604</v>
      </c>
      <c r="I453" s="15">
        <v>10707.9561941623</v>
      </c>
      <c r="J453" s="16" t="s">
        <v>333</v>
      </c>
    </row>
    <row r="454" spans="1:10" hidden="1" x14ac:dyDescent="0.2">
      <c r="A454" s="11" t="s">
        <v>250</v>
      </c>
      <c r="B454" s="12" t="s">
        <v>34</v>
      </c>
      <c r="C454" s="12" t="s">
        <v>285</v>
      </c>
      <c r="D454" s="12">
        <v>50</v>
      </c>
      <c r="E454" s="12">
        <v>7</v>
      </c>
      <c r="F454" s="12">
        <v>4</v>
      </c>
      <c r="G454" s="12">
        <v>10</v>
      </c>
      <c r="H454" s="14">
        <v>733.06895306761999</v>
      </c>
      <c r="I454" s="15">
        <v>5437.36888909339</v>
      </c>
      <c r="J454" s="16" t="s">
        <v>333</v>
      </c>
    </row>
    <row r="455" spans="1:10" hidden="1" x14ac:dyDescent="0.2">
      <c r="A455" s="11"/>
      <c r="B455" s="12" t="s">
        <v>34</v>
      </c>
      <c r="C455" s="12" t="s">
        <v>288</v>
      </c>
      <c r="D455" s="12">
        <v>50</v>
      </c>
      <c r="E455" s="12">
        <v>9</v>
      </c>
      <c r="F455" s="12">
        <v>5</v>
      </c>
      <c r="G455" s="12">
        <v>9</v>
      </c>
      <c r="H455" s="14">
        <v>840.7032772371</v>
      </c>
      <c r="I455" s="15">
        <v>1193.9401838779399</v>
      </c>
      <c r="J455" s="16" t="s">
        <v>333</v>
      </c>
    </row>
    <row r="456" spans="1:10" hidden="1" x14ac:dyDescent="0.2">
      <c r="A456" s="11" t="s">
        <v>250</v>
      </c>
      <c r="B456" s="12" t="s">
        <v>34</v>
      </c>
      <c r="C456" s="12" t="s">
        <v>289</v>
      </c>
      <c r="D456" s="12">
        <v>50</v>
      </c>
      <c r="E456" s="12">
        <v>4</v>
      </c>
      <c r="F456" s="12">
        <v>2</v>
      </c>
      <c r="G456" s="12">
        <v>12</v>
      </c>
      <c r="H456" s="14">
        <v>901.57075664047898</v>
      </c>
      <c r="I456" s="15">
        <v>102.411239862442</v>
      </c>
      <c r="J456" s="16" t="s">
        <v>333</v>
      </c>
    </row>
    <row r="457" spans="1:10" hidden="1" x14ac:dyDescent="0.2">
      <c r="A457" s="11" t="s">
        <v>250</v>
      </c>
      <c r="B457" s="12" t="s">
        <v>34</v>
      </c>
      <c r="C457" s="12" t="s">
        <v>290</v>
      </c>
      <c r="D457" s="12">
        <v>50</v>
      </c>
      <c r="E457" s="12">
        <v>7</v>
      </c>
      <c r="F457" s="12">
        <v>4</v>
      </c>
      <c r="G457" s="12">
        <v>10</v>
      </c>
      <c r="H457" s="14">
        <v>734.84361015817001</v>
      </c>
      <c r="I457" s="15">
        <v>1191.62769699096</v>
      </c>
      <c r="J457" s="16" t="s">
        <v>333</v>
      </c>
    </row>
    <row r="458" spans="1:10" hidden="1" x14ac:dyDescent="0.2">
      <c r="A458" s="11" t="s">
        <v>250</v>
      </c>
      <c r="B458" s="12" t="s">
        <v>34</v>
      </c>
      <c r="C458" s="12" t="s">
        <v>292</v>
      </c>
      <c r="D458" s="12">
        <v>50</v>
      </c>
      <c r="E458" s="12">
        <v>9</v>
      </c>
      <c r="F458" s="12">
        <v>5</v>
      </c>
      <c r="G458" s="12">
        <v>10</v>
      </c>
      <c r="H458" s="14">
        <v>849.31154730702701</v>
      </c>
      <c r="I458" s="15">
        <v>3220.88824796676</v>
      </c>
      <c r="J458" s="16" t="s">
        <v>333</v>
      </c>
    </row>
    <row r="459" spans="1:10" hidden="1" x14ac:dyDescent="0.2">
      <c r="A459" s="11"/>
      <c r="B459" s="12" t="s">
        <v>34</v>
      </c>
      <c r="C459" s="12" t="s">
        <v>293</v>
      </c>
      <c r="D459" s="12">
        <v>50</v>
      </c>
      <c r="E459" s="12">
        <v>4</v>
      </c>
      <c r="F459" s="12">
        <v>2</v>
      </c>
      <c r="G459" s="12">
        <v>11</v>
      </c>
      <c r="H459" s="14">
        <v>859.25927125938802</v>
      </c>
      <c r="I459" s="15">
        <v>661.08583498001099</v>
      </c>
      <c r="J459" s="16" t="s">
        <v>333</v>
      </c>
    </row>
    <row r="460" spans="1:10" hidden="1" x14ac:dyDescent="0.2">
      <c r="A460" s="11"/>
      <c r="B460" s="12" t="s">
        <v>34</v>
      </c>
      <c r="C460" s="12" t="s">
        <v>294</v>
      </c>
      <c r="D460" s="12">
        <v>50</v>
      </c>
      <c r="E460" s="12">
        <v>7</v>
      </c>
      <c r="F460" s="12">
        <v>4</v>
      </c>
      <c r="G460" s="12">
        <v>10</v>
      </c>
      <c r="H460" s="14">
        <v>743.55467547029195</v>
      </c>
      <c r="I460" s="15">
        <v>297.450268030166</v>
      </c>
      <c r="J460" s="16" t="s">
        <v>333</v>
      </c>
    </row>
    <row r="461" spans="1:10" hidden="1" x14ac:dyDescent="0.2">
      <c r="A461" s="11"/>
      <c r="B461" s="12" t="s">
        <v>34</v>
      </c>
      <c r="C461" s="12" t="s">
        <v>296</v>
      </c>
      <c r="D461" s="12">
        <v>50</v>
      </c>
      <c r="E461" s="12">
        <v>9</v>
      </c>
      <c r="F461" s="12">
        <v>5</v>
      </c>
      <c r="G461" s="12">
        <v>9</v>
      </c>
      <c r="H461" s="14">
        <v>766.10600669698601</v>
      </c>
      <c r="I461" s="15">
        <v>372.83338499069202</v>
      </c>
      <c r="J461" s="16" t="s">
        <v>333</v>
      </c>
    </row>
    <row r="462" spans="1:10" hidden="1" x14ac:dyDescent="0.2">
      <c r="A462" s="11" t="s">
        <v>276</v>
      </c>
      <c r="B462" s="12" t="s">
        <v>34</v>
      </c>
      <c r="C462" s="12" t="s">
        <v>297</v>
      </c>
      <c r="D462" s="12">
        <v>50</v>
      </c>
      <c r="E462" s="12">
        <v>4</v>
      </c>
      <c r="F462" s="12">
        <v>2</v>
      </c>
      <c r="G462" s="12">
        <v>12</v>
      </c>
      <c r="H462" s="14">
        <v>909.08900057300696</v>
      </c>
      <c r="I462" s="15">
        <v>115.30222916603</v>
      </c>
      <c r="J462" s="16" t="s">
        <v>333</v>
      </c>
    </row>
    <row r="463" spans="1:10" hidden="1" x14ac:dyDescent="0.2">
      <c r="A463" s="11"/>
      <c r="B463" s="12" t="s">
        <v>34</v>
      </c>
      <c r="C463" s="12" t="s">
        <v>298</v>
      </c>
      <c r="D463" s="12">
        <v>50</v>
      </c>
      <c r="E463" s="12">
        <v>7</v>
      </c>
      <c r="F463" s="12">
        <v>4</v>
      </c>
      <c r="G463" s="12">
        <v>9</v>
      </c>
      <c r="H463" s="14">
        <v>730.45737230482405</v>
      </c>
      <c r="I463" s="15">
        <v>282.54486393928499</v>
      </c>
      <c r="J463" s="16" t="s">
        <v>333</v>
      </c>
    </row>
    <row r="464" spans="1:10" hidden="1" x14ac:dyDescent="0.2">
      <c r="A464" s="11" t="s">
        <v>276</v>
      </c>
      <c r="B464" s="12" t="s">
        <v>34</v>
      </c>
      <c r="C464" s="12" t="s">
        <v>300</v>
      </c>
      <c r="D464" s="12">
        <v>50</v>
      </c>
      <c r="E464" s="12">
        <v>9</v>
      </c>
      <c r="F464" s="12">
        <v>5</v>
      </c>
      <c r="G464" s="12">
        <v>9</v>
      </c>
      <c r="H464" s="14">
        <v>863.21416200974897</v>
      </c>
      <c r="I464" s="15">
        <v>4935.63618683815</v>
      </c>
      <c r="J464" s="16" t="s">
        <v>333</v>
      </c>
    </row>
    <row r="465" spans="1:10" x14ac:dyDescent="0.2">
      <c r="A465" s="11"/>
      <c r="B465" s="12" t="s">
        <v>34</v>
      </c>
      <c r="C465" s="12" t="s">
        <v>301</v>
      </c>
      <c r="D465" s="12">
        <v>100</v>
      </c>
      <c r="E465" s="28"/>
      <c r="F465" s="28"/>
      <c r="G465" s="28"/>
      <c r="J465" s="29"/>
    </row>
    <row r="466" spans="1:10" x14ac:dyDescent="0.2">
      <c r="A466" s="11" t="s">
        <v>276</v>
      </c>
      <c r="B466" s="12" t="s">
        <v>34</v>
      </c>
      <c r="C466" s="12" t="s">
        <v>303</v>
      </c>
      <c r="D466" s="12">
        <v>100</v>
      </c>
      <c r="E466" s="28"/>
      <c r="F466" s="28"/>
      <c r="G466" s="28"/>
      <c r="J466" s="29"/>
    </row>
    <row r="467" spans="1:10" x14ac:dyDescent="0.2">
      <c r="A467" s="28"/>
      <c r="B467" s="12" t="s">
        <v>34</v>
      </c>
      <c r="C467" s="12" t="s">
        <v>304</v>
      </c>
      <c r="D467" s="12">
        <v>100</v>
      </c>
    </row>
    <row r="468" spans="1:10" x14ac:dyDescent="0.2">
      <c r="A468" s="11">
        <v>7</v>
      </c>
      <c r="B468" s="12" t="s">
        <v>34</v>
      </c>
      <c r="C468" s="12" t="s">
        <v>342</v>
      </c>
      <c r="D468" s="12">
        <v>100</v>
      </c>
    </row>
    <row r="469" spans="1:10" x14ac:dyDescent="0.2">
      <c r="B469" s="12" t="s">
        <v>34</v>
      </c>
      <c r="C469" s="12" t="s">
        <v>305</v>
      </c>
      <c r="D469" s="12">
        <v>100</v>
      </c>
    </row>
    <row r="470" spans="1:10" x14ac:dyDescent="0.2">
      <c r="B470" s="12" t="s">
        <v>34</v>
      </c>
      <c r="C470" s="12" t="s">
        <v>306</v>
      </c>
      <c r="D470" s="12">
        <v>100</v>
      </c>
    </row>
    <row r="471" spans="1:10" x14ac:dyDescent="0.2">
      <c r="B471" s="12" t="s">
        <v>34</v>
      </c>
      <c r="C471" s="12" t="s">
        <v>307</v>
      </c>
      <c r="D471" s="12">
        <v>100</v>
      </c>
    </row>
    <row r="472" spans="1:10" x14ac:dyDescent="0.2">
      <c r="B472" s="12" t="s">
        <v>34</v>
      </c>
      <c r="C472" s="12" t="s">
        <v>308</v>
      </c>
      <c r="D472" s="12">
        <v>100</v>
      </c>
    </row>
    <row r="473" spans="1:10" x14ac:dyDescent="0.2">
      <c r="B473" s="12" t="s">
        <v>34</v>
      </c>
      <c r="C473" s="12" t="s">
        <v>309</v>
      </c>
      <c r="D473" s="12">
        <v>100</v>
      </c>
    </row>
    <row r="474" spans="1:10" x14ac:dyDescent="0.2">
      <c r="B474" s="12" t="s">
        <v>34</v>
      </c>
      <c r="C474" s="12" t="s">
        <v>310</v>
      </c>
      <c r="D474" s="12">
        <v>100</v>
      </c>
    </row>
    <row r="475" spans="1:10" x14ac:dyDescent="0.2">
      <c r="B475" s="12" t="s">
        <v>34</v>
      </c>
      <c r="C475" s="12" t="s">
        <v>343</v>
      </c>
      <c r="D475" s="12">
        <v>100</v>
      </c>
    </row>
    <row r="476" spans="1:10" x14ac:dyDescent="0.2">
      <c r="B476" s="12" t="s">
        <v>34</v>
      </c>
      <c r="C476" s="12" t="s">
        <v>344</v>
      </c>
      <c r="D476" s="12">
        <v>100</v>
      </c>
    </row>
    <row r="477" spans="1:10" x14ac:dyDescent="0.2">
      <c r="B477" s="12" t="s">
        <v>34</v>
      </c>
      <c r="C477" s="12" t="s">
        <v>311</v>
      </c>
      <c r="D477" s="12">
        <v>100</v>
      </c>
    </row>
    <row r="478" spans="1:10" x14ac:dyDescent="0.2">
      <c r="B478" s="12" t="s">
        <v>34</v>
      </c>
      <c r="C478" s="12" t="s">
        <v>312</v>
      </c>
      <c r="D478" s="12">
        <v>100</v>
      </c>
    </row>
    <row r="479" spans="1:10" x14ac:dyDescent="0.2">
      <c r="B479" s="12" t="s">
        <v>34</v>
      </c>
      <c r="C479" s="12" t="s">
        <v>313</v>
      </c>
      <c r="D479" s="12">
        <v>100</v>
      </c>
    </row>
    <row r="480" spans="1:10" x14ac:dyDescent="0.2">
      <c r="B480" s="12" t="s">
        <v>34</v>
      </c>
      <c r="C480" s="12" t="s">
        <v>345</v>
      </c>
      <c r="D480" s="12">
        <v>100</v>
      </c>
    </row>
    <row r="481" spans="2:10" x14ac:dyDescent="0.2">
      <c r="B481" s="12" t="s">
        <v>34</v>
      </c>
      <c r="C481" s="12" t="s">
        <v>340</v>
      </c>
      <c r="D481" s="12">
        <v>100</v>
      </c>
      <c r="E481" s="12"/>
      <c r="F481" s="12"/>
      <c r="G481" s="12"/>
      <c r="H481" s="14"/>
      <c r="I481" s="15"/>
      <c r="J481" s="16"/>
    </row>
    <row r="482" spans="2:10" x14ac:dyDescent="0.2">
      <c r="B482" s="12" t="s">
        <v>34</v>
      </c>
      <c r="C482" s="12" t="s">
        <v>314</v>
      </c>
      <c r="D482" s="12">
        <v>100</v>
      </c>
    </row>
    <row r="483" spans="2:10" x14ac:dyDescent="0.2">
      <c r="B483" s="12" t="s">
        <v>34</v>
      </c>
      <c r="C483" s="12" t="s">
        <v>346</v>
      </c>
      <c r="D483" s="12">
        <v>100</v>
      </c>
    </row>
    <row r="484" spans="2:10" x14ac:dyDescent="0.2">
      <c r="B484" s="12" t="s">
        <v>34</v>
      </c>
      <c r="C484" s="12" t="s">
        <v>368</v>
      </c>
      <c r="D484" s="12">
        <v>100</v>
      </c>
    </row>
    <row r="485" spans="2:10" x14ac:dyDescent="0.2">
      <c r="B485" s="12" t="s">
        <v>34</v>
      </c>
      <c r="C485" s="12" t="s">
        <v>369</v>
      </c>
      <c r="D485" s="12">
        <v>100</v>
      </c>
    </row>
    <row r="486" spans="2:10" x14ac:dyDescent="0.2">
      <c r="B486" s="12" t="s">
        <v>34</v>
      </c>
      <c r="C486" s="12" t="s">
        <v>370</v>
      </c>
      <c r="D486" s="12">
        <v>100</v>
      </c>
    </row>
    <row r="487" spans="2:10" x14ac:dyDescent="0.2">
      <c r="B487" s="12" t="s">
        <v>34</v>
      </c>
      <c r="C487" s="12" t="s">
        <v>347</v>
      </c>
      <c r="D487" s="12">
        <v>100</v>
      </c>
    </row>
    <row r="488" spans="2:10" x14ac:dyDescent="0.2">
      <c r="B488" s="12" t="s">
        <v>34</v>
      </c>
      <c r="C488" s="12" t="s">
        <v>348</v>
      </c>
      <c r="D488" s="12">
        <v>100</v>
      </c>
    </row>
    <row r="489" spans="2:10" x14ac:dyDescent="0.2">
      <c r="B489" s="12" t="s">
        <v>34</v>
      </c>
      <c r="C489" s="12" t="s">
        <v>315</v>
      </c>
      <c r="D489" s="12">
        <v>100</v>
      </c>
    </row>
    <row r="490" spans="2:10" x14ac:dyDescent="0.2">
      <c r="B490" s="12" t="s">
        <v>34</v>
      </c>
      <c r="C490" s="12" t="s">
        <v>349</v>
      </c>
      <c r="D490" s="12">
        <v>100</v>
      </c>
    </row>
    <row r="491" spans="2:10" x14ac:dyDescent="0.2">
      <c r="B491" s="12" t="s">
        <v>34</v>
      </c>
      <c r="C491" s="12" t="s">
        <v>316</v>
      </c>
      <c r="D491" s="12">
        <v>100</v>
      </c>
    </row>
    <row r="492" spans="2:10" x14ac:dyDescent="0.2">
      <c r="B492" s="12" t="s">
        <v>34</v>
      </c>
      <c r="C492" s="12" t="s">
        <v>350</v>
      </c>
      <c r="D492" s="12">
        <v>100</v>
      </c>
    </row>
    <row r="493" spans="2:10" x14ac:dyDescent="0.2">
      <c r="B493" s="12" t="s">
        <v>34</v>
      </c>
      <c r="C493" s="12" t="s">
        <v>351</v>
      </c>
      <c r="D493" s="12">
        <v>100</v>
      </c>
    </row>
    <row r="494" spans="2:10" x14ac:dyDescent="0.2">
      <c r="B494" s="12" t="s">
        <v>34</v>
      </c>
      <c r="C494" s="12" t="s">
        <v>352</v>
      </c>
      <c r="D494" s="12">
        <v>100</v>
      </c>
    </row>
    <row r="495" spans="2:10" x14ac:dyDescent="0.2">
      <c r="B495" s="12" t="s">
        <v>34</v>
      </c>
      <c r="C495" s="12" t="s">
        <v>353</v>
      </c>
      <c r="D495" s="12">
        <v>100</v>
      </c>
    </row>
    <row r="496" spans="2:10" x14ac:dyDescent="0.2">
      <c r="B496" s="12" t="s">
        <v>34</v>
      </c>
      <c r="C496" s="12" t="s">
        <v>354</v>
      </c>
      <c r="D496" s="12">
        <v>100</v>
      </c>
    </row>
    <row r="497" spans="2:10" x14ac:dyDescent="0.2">
      <c r="B497" s="12" t="s">
        <v>34</v>
      </c>
      <c r="C497" s="12" t="s">
        <v>317</v>
      </c>
      <c r="D497" s="12">
        <v>100</v>
      </c>
    </row>
    <row r="498" spans="2:10" x14ac:dyDescent="0.2">
      <c r="B498" s="12" t="s">
        <v>34</v>
      </c>
      <c r="C498" s="12" t="s">
        <v>318</v>
      </c>
      <c r="D498" s="12">
        <v>100</v>
      </c>
    </row>
    <row r="499" spans="2:10" x14ac:dyDescent="0.2">
      <c r="B499" s="12" t="s">
        <v>34</v>
      </c>
      <c r="C499" s="12" t="s">
        <v>319</v>
      </c>
      <c r="D499" s="12">
        <v>100</v>
      </c>
    </row>
    <row r="500" spans="2:10" x14ac:dyDescent="0.2">
      <c r="B500" s="12" t="s">
        <v>34</v>
      </c>
      <c r="C500" s="12" t="s">
        <v>320</v>
      </c>
      <c r="D500" s="12">
        <v>100</v>
      </c>
    </row>
    <row r="501" spans="2:10" x14ac:dyDescent="0.2">
      <c r="B501" s="12" t="s">
        <v>34</v>
      </c>
      <c r="C501" s="12" t="s">
        <v>355</v>
      </c>
      <c r="D501" s="12">
        <v>100</v>
      </c>
    </row>
    <row r="502" spans="2:10" x14ac:dyDescent="0.2">
      <c r="B502" s="12" t="s">
        <v>34</v>
      </c>
      <c r="C502" s="12" t="s">
        <v>356</v>
      </c>
      <c r="D502" s="12">
        <v>100</v>
      </c>
    </row>
    <row r="503" spans="2:10" x14ac:dyDescent="0.2">
      <c r="B503" s="12" t="s">
        <v>34</v>
      </c>
      <c r="C503" s="12" t="s">
        <v>341</v>
      </c>
      <c r="D503" s="12">
        <v>100</v>
      </c>
      <c r="E503" s="12"/>
      <c r="F503" s="12"/>
      <c r="G503" s="12"/>
      <c r="H503" s="14"/>
      <c r="I503" s="15"/>
      <c r="J503" s="16"/>
    </row>
    <row r="504" spans="2:10" x14ac:dyDescent="0.2">
      <c r="B504" s="12" t="s">
        <v>34</v>
      </c>
      <c r="C504" s="12" t="s">
        <v>357</v>
      </c>
      <c r="D504" s="12">
        <v>100</v>
      </c>
    </row>
    <row r="505" spans="2:10" x14ac:dyDescent="0.2">
      <c r="B505" s="12" t="s">
        <v>34</v>
      </c>
      <c r="C505" s="12" t="s">
        <v>358</v>
      </c>
      <c r="D505" s="12">
        <v>100</v>
      </c>
    </row>
    <row r="506" spans="2:10" x14ac:dyDescent="0.2">
      <c r="B506" s="12" t="s">
        <v>34</v>
      </c>
      <c r="C506" s="12" t="s">
        <v>359</v>
      </c>
      <c r="D506" s="12">
        <v>100</v>
      </c>
    </row>
    <row r="507" spans="2:10" x14ac:dyDescent="0.2">
      <c r="B507" s="12" t="s">
        <v>34</v>
      </c>
      <c r="C507" s="12" t="s">
        <v>360</v>
      </c>
      <c r="D507" s="12">
        <v>100</v>
      </c>
    </row>
    <row r="508" spans="2:10" x14ac:dyDescent="0.2">
      <c r="B508" s="12" t="s">
        <v>34</v>
      </c>
      <c r="C508" s="12" t="s">
        <v>361</v>
      </c>
      <c r="D508" s="12">
        <v>100</v>
      </c>
    </row>
    <row r="509" spans="2:10" x14ac:dyDescent="0.2">
      <c r="B509" s="12" t="s">
        <v>34</v>
      </c>
      <c r="C509" s="12" t="s">
        <v>362</v>
      </c>
      <c r="D509" s="12">
        <v>100</v>
      </c>
    </row>
    <row r="510" spans="2:10" x14ac:dyDescent="0.2">
      <c r="B510" s="12" t="s">
        <v>34</v>
      </c>
      <c r="C510" s="12" t="s">
        <v>363</v>
      </c>
      <c r="D510" s="12">
        <v>100</v>
      </c>
    </row>
    <row r="511" spans="2:10" x14ac:dyDescent="0.2">
      <c r="B511" s="12" t="s">
        <v>34</v>
      </c>
      <c r="C511" s="12" t="s">
        <v>364</v>
      </c>
      <c r="D511" s="12">
        <v>100</v>
      </c>
    </row>
    <row r="512" spans="2:10" x14ac:dyDescent="0.2">
      <c r="B512" s="12" t="s">
        <v>34</v>
      </c>
      <c r="C512" s="12" t="s">
        <v>321</v>
      </c>
      <c r="D512" s="12">
        <v>100</v>
      </c>
    </row>
    <row r="513" spans="2:4" x14ac:dyDescent="0.2">
      <c r="B513" s="12" t="s">
        <v>34</v>
      </c>
      <c r="C513" s="12" t="s">
        <v>322</v>
      </c>
      <c r="D513" s="12">
        <v>100</v>
      </c>
    </row>
    <row r="514" spans="2:4" x14ac:dyDescent="0.2">
      <c r="B514" s="12" t="s">
        <v>34</v>
      </c>
      <c r="C514" s="12" t="s">
        <v>323</v>
      </c>
      <c r="D514" s="12">
        <v>100</v>
      </c>
    </row>
    <row r="515" spans="2:4" x14ac:dyDescent="0.2">
      <c r="B515" s="12" t="s">
        <v>34</v>
      </c>
      <c r="C515" s="12" t="s">
        <v>365</v>
      </c>
      <c r="D515" s="12">
        <v>100</v>
      </c>
    </row>
    <row r="516" spans="2:4" x14ac:dyDescent="0.2">
      <c r="B516" s="12" t="s">
        <v>34</v>
      </c>
      <c r="C516" s="12" t="s">
        <v>324</v>
      </c>
      <c r="D516" s="12">
        <v>100</v>
      </c>
    </row>
    <row r="517" spans="2:4" x14ac:dyDescent="0.2">
      <c r="B517" s="12" t="s">
        <v>34</v>
      </c>
      <c r="C517" s="12" t="s">
        <v>325</v>
      </c>
      <c r="D517" s="12">
        <v>100</v>
      </c>
    </row>
    <row r="518" spans="2:4" x14ac:dyDescent="0.2">
      <c r="B518" s="12" t="s">
        <v>34</v>
      </c>
      <c r="C518" s="12" t="s">
        <v>326</v>
      </c>
      <c r="D518" s="12">
        <v>100</v>
      </c>
    </row>
    <row r="519" spans="2:4" x14ac:dyDescent="0.2">
      <c r="B519" s="12" t="s">
        <v>34</v>
      </c>
      <c r="C519" s="12" t="s">
        <v>327</v>
      </c>
      <c r="D519" s="12">
        <v>100</v>
      </c>
    </row>
    <row r="520" spans="2:4" x14ac:dyDescent="0.2">
      <c r="B520" s="12" t="s">
        <v>34</v>
      </c>
      <c r="C520" s="12" t="s">
        <v>328</v>
      </c>
      <c r="D520" s="12">
        <v>100</v>
      </c>
    </row>
    <row r="521" spans="2:4" x14ac:dyDescent="0.2">
      <c r="B521" s="12" t="s">
        <v>34</v>
      </c>
      <c r="C521" s="12" t="s">
        <v>329</v>
      </c>
      <c r="D521" s="12">
        <v>100</v>
      </c>
    </row>
    <row r="522" spans="2:4" x14ac:dyDescent="0.2">
      <c r="B522" s="12" t="s">
        <v>34</v>
      </c>
      <c r="C522" s="12" t="s">
        <v>330</v>
      </c>
      <c r="D522" s="12">
        <v>100</v>
      </c>
    </row>
    <row r="523" spans="2:4" x14ac:dyDescent="0.2">
      <c r="B523" s="12" t="s">
        <v>34</v>
      </c>
      <c r="C523" s="12" t="s">
        <v>366</v>
      </c>
      <c r="D523" s="12">
        <v>100</v>
      </c>
    </row>
    <row r="524" spans="2:4" x14ac:dyDescent="0.2">
      <c r="B524" s="12" t="s">
        <v>34</v>
      </c>
      <c r="C524" s="12" t="s">
        <v>331</v>
      </c>
      <c r="D524" s="12">
        <v>100</v>
      </c>
    </row>
    <row r="525" spans="2:4" x14ac:dyDescent="0.2">
      <c r="B525" s="12" t="s">
        <v>34</v>
      </c>
      <c r="C525" s="12" t="s">
        <v>367</v>
      </c>
      <c r="D525" s="12">
        <v>100</v>
      </c>
    </row>
    <row r="526" spans="2:4" x14ac:dyDescent="0.2">
      <c r="B526" s="12" t="s">
        <v>34</v>
      </c>
      <c r="C526" s="12" t="s">
        <v>332</v>
      </c>
      <c r="D526" s="12">
        <v>100</v>
      </c>
    </row>
    <row r="527" spans="2:4" x14ac:dyDescent="0.2">
      <c r="B527" s="12"/>
    </row>
    <row r="528" spans="2:4" x14ac:dyDescent="0.2">
      <c r="B528" s="12"/>
    </row>
    <row r="529" spans="2:2" x14ac:dyDescent="0.2">
      <c r="B529" s="12"/>
    </row>
    <row r="530" spans="2:2" x14ac:dyDescent="0.2">
      <c r="B530" s="12"/>
    </row>
    <row r="580" spans="3:10" x14ac:dyDescent="0.2">
      <c r="C580" s="22"/>
      <c r="D580" s="22"/>
      <c r="F580" s="25"/>
      <c r="J580"/>
    </row>
    <row r="581" spans="3:10" x14ac:dyDescent="0.2">
      <c r="C581" s="22"/>
      <c r="D581" s="22"/>
      <c r="F581" s="25"/>
      <c r="J581"/>
    </row>
    <row r="582" spans="3:10" x14ac:dyDescent="0.2">
      <c r="C582" s="22"/>
      <c r="D582" s="22"/>
      <c r="F582" s="25"/>
      <c r="J582"/>
    </row>
    <row r="583" spans="3:10" x14ac:dyDescent="0.2">
      <c r="C583" s="19"/>
      <c r="D583" s="22"/>
      <c r="F583" s="25"/>
      <c r="J583"/>
    </row>
    <row r="584" spans="3:10" x14ac:dyDescent="0.2">
      <c r="C584" s="22"/>
      <c r="D584" s="22"/>
      <c r="F584" s="25"/>
      <c r="J584"/>
    </row>
    <row r="585" spans="3:10" x14ac:dyDescent="0.2">
      <c r="C585" s="22"/>
      <c r="D585" s="22"/>
      <c r="F585" s="25"/>
      <c r="J585"/>
    </row>
    <row r="586" spans="3:10" x14ac:dyDescent="0.2">
      <c r="D586" s="22"/>
      <c r="F586" s="25"/>
      <c r="J586"/>
    </row>
    <row r="587" spans="3:10" x14ac:dyDescent="0.2">
      <c r="C587" s="22"/>
      <c r="D587" s="22"/>
      <c r="F587" s="25"/>
      <c r="J587"/>
    </row>
    <row r="588" spans="3:10" x14ac:dyDescent="0.2">
      <c r="C588" s="22"/>
      <c r="F588" s="25"/>
      <c r="J588"/>
    </row>
    <row r="589" spans="3:10" x14ac:dyDescent="0.2">
      <c r="C589" s="22"/>
      <c r="D589" s="22"/>
      <c r="F589" s="25"/>
      <c r="J589"/>
    </row>
    <row r="590" spans="3:10" x14ac:dyDescent="0.2">
      <c r="C590" s="22"/>
      <c r="D590" s="22"/>
      <c r="F590" s="25"/>
      <c r="J590"/>
    </row>
    <row r="591" spans="3:10" x14ac:dyDescent="0.2">
      <c r="C591" s="22"/>
      <c r="D591" s="22"/>
      <c r="F591" s="25"/>
      <c r="J591"/>
    </row>
    <row r="592" spans="3:10" x14ac:dyDescent="0.2">
      <c r="C592" s="22"/>
      <c r="D592" s="22"/>
      <c r="F592" s="25"/>
      <c r="J592"/>
    </row>
    <row r="593" spans="3:10" x14ac:dyDescent="0.2">
      <c r="C593" s="22"/>
      <c r="D593" s="22"/>
      <c r="F593" s="25"/>
      <c r="J593"/>
    </row>
    <row r="594" spans="3:10" x14ac:dyDescent="0.2">
      <c r="C594" s="22"/>
      <c r="D594" s="22"/>
      <c r="F594" s="25"/>
      <c r="J594"/>
    </row>
    <row r="595" spans="3:10" x14ac:dyDescent="0.2">
      <c r="C595" s="22"/>
      <c r="D595" s="22"/>
      <c r="F595" s="25"/>
      <c r="J595"/>
    </row>
    <row r="596" spans="3:10" x14ac:dyDescent="0.2">
      <c r="C596" s="22"/>
      <c r="D596" s="22"/>
      <c r="F596" s="25"/>
      <c r="J596"/>
    </row>
    <row r="597" spans="3:10" x14ac:dyDescent="0.2">
      <c r="C597" s="22"/>
      <c r="D597" s="22"/>
      <c r="F597" s="25"/>
      <c r="J597"/>
    </row>
    <row r="598" spans="3:10" x14ac:dyDescent="0.2">
      <c r="C598" s="22"/>
      <c r="D598" s="22"/>
      <c r="F598" s="25"/>
      <c r="J598"/>
    </row>
    <row r="599" spans="3:10" x14ac:dyDescent="0.2">
      <c r="C599" s="22"/>
      <c r="D599" s="22"/>
      <c r="F599" s="25"/>
      <c r="J599"/>
    </row>
    <row r="600" spans="3:10" x14ac:dyDescent="0.2">
      <c r="C600" s="22"/>
      <c r="D600" s="22"/>
      <c r="F600" s="25"/>
      <c r="J600"/>
    </row>
    <row r="601" spans="3:10" x14ac:dyDescent="0.2">
      <c r="C601" s="22"/>
      <c r="D601" s="22"/>
      <c r="F601" s="25"/>
      <c r="J601"/>
    </row>
    <row r="602" spans="3:10" x14ac:dyDescent="0.2">
      <c r="C602" s="22"/>
      <c r="D602" s="22"/>
      <c r="F602" s="25"/>
      <c r="J602"/>
    </row>
    <row r="603" spans="3:10" x14ac:dyDescent="0.2">
      <c r="C603" s="22"/>
      <c r="D603" s="22"/>
      <c r="F603" s="25"/>
      <c r="J603"/>
    </row>
    <row r="604" spans="3:10" x14ac:dyDescent="0.2">
      <c r="C604" s="22"/>
      <c r="D604" s="22"/>
      <c r="F604" s="25"/>
      <c r="J604"/>
    </row>
    <row r="605" spans="3:10" x14ac:dyDescent="0.2">
      <c r="C605" s="22"/>
      <c r="D605" s="22"/>
      <c r="F605" s="25"/>
      <c r="J605"/>
    </row>
    <row r="606" spans="3:10" x14ac:dyDescent="0.2">
      <c r="C606" s="22"/>
      <c r="D606" s="22"/>
      <c r="F606" s="25"/>
      <c r="J606"/>
    </row>
    <row r="607" spans="3:10" x14ac:dyDescent="0.2">
      <c r="C607" s="22"/>
      <c r="D607" s="22"/>
      <c r="F607" s="25"/>
      <c r="J607"/>
    </row>
    <row r="608" spans="3:10" x14ac:dyDescent="0.2">
      <c r="C608" s="22"/>
      <c r="D608" s="22"/>
      <c r="F608" s="25"/>
      <c r="J608"/>
    </row>
    <row r="609" spans="3:10" x14ac:dyDescent="0.2">
      <c r="C609" s="22"/>
      <c r="D609" s="22"/>
      <c r="F609" s="25"/>
      <c r="J609"/>
    </row>
    <row r="610" spans="3:10" x14ac:dyDescent="0.2">
      <c r="C610" s="22"/>
      <c r="D610" s="22"/>
      <c r="F610" s="25"/>
      <c r="J610"/>
    </row>
    <row r="611" spans="3:10" x14ac:dyDescent="0.2">
      <c r="C611" s="22"/>
      <c r="D611" s="22"/>
      <c r="J611"/>
    </row>
    <row r="612" spans="3:10" x14ac:dyDescent="0.2">
      <c r="C612" s="22"/>
      <c r="D612" s="22"/>
      <c r="J612"/>
    </row>
    <row r="613" spans="3:10" x14ac:dyDescent="0.2">
      <c r="C613" s="22"/>
      <c r="D613" s="22"/>
      <c r="J613"/>
    </row>
    <row r="614" spans="3:10" x14ac:dyDescent="0.2">
      <c r="C614" s="22"/>
      <c r="D614" s="22"/>
      <c r="J614"/>
    </row>
    <row r="615" spans="3:10" x14ac:dyDescent="0.2">
      <c r="D615" s="22"/>
      <c r="J615"/>
    </row>
    <row r="616" spans="3:10" x14ac:dyDescent="0.2">
      <c r="C616" s="22"/>
      <c r="D616" s="22"/>
      <c r="J616"/>
    </row>
    <row r="617" spans="3:10" x14ac:dyDescent="0.2">
      <c r="C617" s="22"/>
      <c r="J617"/>
    </row>
    <row r="618" spans="3:10" x14ac:dyDescent="0.2">
      <c r="C618" s="22"/>
      <c r="D618" s="22"/>
      <c r="J618"/>
    </row>
    <row r="619" spans="3:10" x14ac:dyDescent="0.2">
      <c r="D619" s="22"/>
      <c r="J619"/>
    </row>
    <row r="620" spans="3:10" x14ac:dyDescent="0.2">
      <c r="C620" s="22"/>
      <c r="D620" s="22"/>
      <c r="J620"/>
    </row>
    <row r="621" spans="3:10" x14ac:dyDescent="0.2">
      <c r="C621" s="22"/>
      <c r="D621" s="22"/>
      <c r="J621"/>
    </row>
    <row r="622" spans="3:10" x14ac:dyDescent="0.2">
      <c r="C622" s="22"/>
      <c r="J622"/>
    </row>
    <row r="623" spans="3:10" x14ac:dyDescent="0.2">
      <c r="C623" s="22"/>
      <c r="D623" s="22"/>
      <c r="J623"/>
    </row>
    <row r="624" spans="3:10" x14ac:dyDescent="0.2">
      <c r="C624" s="22"/>
      <c r="J624"/>
    </row>
    <row r="625" spans="3:10" x14ac:dyDescent="0.2">
      <c r="C625" s="22"/>
      <c r="D625" s="22"/>
      <c r="J625"/>
    </row>
    <row r="626" spans="3:10" x14ac:dyDescent="0.2">
      <c r="C626" s="22"/>
      <c r="D626" s="22"/>
      <c r="J626"/>
    </row>
    <row r="627" spans="3:10" x14ac:dyDescent="0.2">
      <c r="C627" s="22"/>
      <c r="D627" s="22"/>
      <c r="J627"/>
    </row>
    <row r="628" spans="3:10" x14ac:dyDescent="0.2">
      <c r="C628" s="22"/>
      <c r="D628" s="22"/>
      <c r="J628"/>
    </row>
    <row r="629" spans="3:10" x14ac:dyDescent="0.2">
      <c r="C629" s="22"/>
      <c r="D629" s="22"/>
      <c r="J629"/>
    </row>
    <row r="630" spans="3:10" x14ac:dyDescent="0.2">
      <c r="C630" s="22"/>
      <c r="D630" s="22"/>
      <c r="J630"/>
    </row>
    <row r="631" spans="3:10" x14ac:dyDescent="0.2">
      <c r="C631" s="22"/>
      <c r="D631" s="22"/>
      <c r="J631"/>
    </row>
    <row r="632" spans="3:10" x14ac:dyDescent="0.2">
      <c r="C632" s="22"/>
      <c r="D632" s="22"/>
      <c r="J632"/>
    </row>
    <row r="633" spans="3:10" x14ac:dyDescent="0.2">
      <c r="C633" s="22"/>
      <c r="D633" s="22"/>
      <c r="J633"/>
    </row>
    <row r="634" spans="3:10" x14ac:dyDescent="0.2">
      <c r="C634" s="22"/>
      <c r="D634" s="22"/>
      <c r="J634"/>
    </row>
    <row r="635" spans="3:10" x14ac:dyDescent="0.2">
      <c r="C635" s="22"/>
      <c r="D635" s="22"/>
      <c r="J635"/>
    </row>
    <row r="636" spans="3:10" x14ac:dyDescent="0.2">
      <c r="C636" s="22"/>
      <c r="D636" s="22"/>
      <c r="J636"/>
    </row>
    <row r="637" spans="3:10" x14ac:dyDescent="0.2">
      <c r="C637" s="22"/>
      <c r="D637" s="22"/>
      <c r="J637"/>
    </row>
    <row r="638" spans="3:10" x14ac:dyDescent="0.2">
      <c r="C638" s="22"/>
      <c r="J638"/>
    </row>
    <row r="639" spans="3:10" x14ac:dyDescent="0.2">
      <c r="D639" s="26"/>
      <c r="J639"/>
    </row>
    <row r="640" spans="3:10" x14ac:dyDescent="0.2">
      <c r="J640"/>
    </row>
    <row r="641" spans="10:10" x14ac:dyDescent="0.2">
      <c r="J641"/>
    </row>
    <row r="642" spans="10:10" x14ac:dyDescent="0.2">
      <c r="J642"/>
    </row>
    <row r="643" spans="10:10" x14ac:dyDescent="0.2">
      <c r="J643"/>
    </row>
    <row r="644" spans="10:10" x14ac:dyDescent="0.2">
      <c r="J644"/>
    </row>
    <row r="645" spans="10:10" x14ac:dyDescent="0.2">
      <c r="J645"/>
    </row>
    <row r="646" spans="10:10" x14ac:dyDescent="0.2">
      <c r="J646"/>
    </row>
    <row r="647" spans="10:10" x14ac:dyDescent="0.2">
      <c r="J647"/>
    </row>
    <row r="648" spans="10:10" x14ac:dyDescent="0.2">
      <c r="J648"/>
    </row>
    <row r="649" spans="10:10" x14ac:dyDescent="0.2">
      <c r="J649"/>
    </row>
    <row r="650" spans="10:10" x14ac:dyDescent="0.2">
      <c r="J650"/>
    </row>
    <row r="651" spans="10:10" x14ac:dyDescent="0.2">
      <c r="J651"/>
    </row>
    <row r="652" spans="10:10" x14ac:dyDescent="0.2">
      <c r="J652"/>
    </row>
    <row r="653" spans="10:10" x14ac:dyDescent="0.2">
      <c r="J653"/>
    </row>
    <row r="654" spans="10:10" x14ac:dyDescent="0.2">
      <c r="J654"/>
    </row>
    <row r="655" spans="10:10" x14ac:dyDescent="0.2">
      <c r="J655"/>
    </row>
    <row r="656" spans="10:10" x14ac:dyDescent="0.2">
      <c r="J656"/>
    </row>
    <row r="657" spans="10:10" x14ac:dyDescent="0.2">
      <c r="J657"/>
    </row>
    <row r="658" spans="10:10" x14ac:dyDescent="0.2">
      <c r="J658"/>
    </row>
    <row r="659" spans="10:10" x14ac:dyDescent="0.2">
      <c r="J659"/>
    </row>
    <row r="660" spans="10:10" x14ac:dyDescent="0.2">
      <c r="J660"/>
    </row>
    <row r="661" spans="10:10" x14ac:dyDescent="0.2">
      <c r="J661"/>
    </row>
    <row r="662" spans="10:10" x14ac:dyDescent="0.2">
      <c r="J662"/>
    </row>
    <row r="663" spans="10:10" x14ac:dyDescent="0.2">
      <c r="J663"/>
    </row>
    <row r="664" spans="10:10" x14ac:dyDescent="0.2">
      <c r="J664"/>
    </row>
    <row r="665" spans="10:10" x14ac:dyDescent="0.2">
      <c r="J665"/>
    </row>
    <row r="666" spans="10:10" x14ac:dyDescent="0.2">
      <c r="J666"/>
    </row>
    <row r="667" spans="10:10" x14ac:dyDescent="0.2">
      <c r="J667"/>
    </row>
    <row r="668" spans="10:10" x14ac:dyDescent="0.2">
      <c r="J668"/>
    </row>
    <row r="669" spans="10:10" x14ac:dyDescent="0.2">
      <c r="J669"/>
    </row>
    <row r="670" spans="10:10" x14ac:dyDescent="0.2">
      <c r="J670"/>
    </row>
  </sheetData>
  <autoFilter ref="A8:O526" xr:uid="{15E922E9-A462-684D-B759-177DDBEAD981}">
    <filterColumn colId="3">
      <filters>
        <filter val="100"/>
      </filters>
    </filterColumn>
  </autoFilter>
  <sortState xmlns:xlrd2="http://schemas.microsoft.com/office/spreadsheetml/2017/richdata2" ref="B9:J670">
    <sortCondition descending="1" ref="B9:B670"/>
    <sortCondition ref="D9:D670"/>
    <sortCondition ref="C9:C670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1F04-1B5C-6A4A-8A07-F24E90E43644}">
  <dimension ref="A8:T337"/>
  <sheetViews>
    <sheetView topLeftCell="A8" zoomScale="117" zoomScaleNormal="140" workbookViewId="0">
      <pane ySplit="1" topLeftCell="A124" activePane="bottomLeft" state="frozen"/>
      <selection activeCell="A8" sqref="A8"/>
      <selection pane="bottomLeft" activeCell="J108" sqref="J108"/>
    </sheetView>
  </sheetViews>
  <sheetFormatPr baseColWidth="10" defaultRowHeight="16" x14ac:dyDescent="0.2"/>
  <cols>
    <col min="2" max="2" width="10.6640625" bestFit="1" customWidth="1"/>
    <col min="3" max="3" width="9.83203125" bestFit="1" customWidth="1"/>
    <col min="4" max="4" width="3.1640625" hidden="1" customWidth="1"/>
    <col min="5" max="5" width="7.1640625" hidden="1" customWidth="1"/>
    <col min="6" max="6" width="10.83203125" hidden="1" customWidth="1"/>
    <col min="7" max="7" width="12.6640625" customWidth="1"/>
    <col min="8" max="8" width="10.83203125" customWidth="1"/>
    <col min="9" max="9" width="12.6640625" style="6" customWidth="1"/>
    <col min="12" max="12" width="10.83203125" style="36"/>
    <col min="13" max="13" width="12.1640625" bestFit="1" customWidth="1"/>
    <col min="16" max="16" width="12.6640625" bestFit="1" customWidth="1"/>
  </cols>
  <sheetData>
    <row r="8" spans="1:20" x14ac:dyDescent="0.2">
      <c r="B8" t="s">
        <v>372</v>
      </c>
      <c r="C8" t="s">
        <v>0</v>
      </c>
      <c r="G8" t="s">
        <v>374</v>
      </c>
      <c r="H8" t="s">
        <v>373</v>
      </c>
      <c r="J8" t="s">
        <v>375</v>
      </c>
      <c r="K8" t="s">
        <v>373</v>
      </c>
      <c r="N8" t="s">
        <v>377</v>
      </c>
      <c r="O8" t="s">
        <v>376</v>
      </c>
      <c r="P8" t="s">
        <v>378</v>
      </c>
      <c r="Q8" t="s">
        <v>379</v>
      </c>
      <c r="R8" t="s">
        <v>380</v>
      </c>
      <c r="S8" t="s">
        <v>381</v>
      </c>
      <c r="T8" t="s">
        <v>382</v>
      </c>
    </row>
    <row r="9" spans="1:20" x14ac:dyDescent="0.2">
      <c r="A9" s="11" t="s">
        <v>36</v>
      </c>
      <c r="B9" s="11" t="s">
        <v>44</v>
      </c>
      <c r="C9" s="11">
        <v>15</v>
      </c>
      <c r="D9" s="11">
        <v>4</v>
      </c>
      <c r="E9" s="11">
        <v>2</v>
      </c>
      <c r="F9" s="11">
        <v>4</v>
      </c>
      <c r="G9" s="11">
        <v>0.87135195732116699</v>
      </c>
      <c r="H9" s="11">
        <v>444.27821355770499</v>
      </c>
      <c r="I9" s="31" t="s">
        <v>333</v>
      </c>
      <c r="J9" s="11">
        <v>16.5110988616943</v>
      </c>
      <c r="K9" s="11">
        <v>444.27821355770499</v>
      </c>
      <c r="N9">
        <f>J9-G9</f>
        <v>15.639746904373133</v>
      </c>
      <c r="Q9" s="11">
        <v>16.802807807922299</v>
      </c>
    </row>
    <row r="10" spans="1:20" x14ac:dyDescent="0.2">
      <c r="A10" s="12" t="s">
        <v>36</v>
      </c>
      <c r="B10" s="12" t="s">
        <v>45</v>
      </c>
      <c r="C10" s="12">
        <v>15</v>
      </c>
      <c r="D10" s="12">
        <v>7</v>
      </c>
      <c r="E10" s="12">
        <v>4</v>
      </c>
      <c r="F10" s="12">
        <v>3</v>
      </c>
      <c r="G10" s="12">
        <v>1.60009098052978</v>
      </c>
      <c r="H10" s="12">
        <v>404.26001495053998</v>
      </c>
      <c r="I10" s="32" t="s">
        <v>333</v>
      </c>
      <c r="J10" s="12">
        <v>18.518352985381998</v>
      </c>
      <c r="K10" s="12">
        <v>404.26001495053998</v>
      </c>
      <c r="N10">
        <f t="shared" ref="N10:N67" si="0">J10-G10</f>
        <v>16.918262004852217</v>
      </c>
      <c r="Q10" s="12">
        <v>17.946006059646599</v>
      </c>
    </row>
    <row r="11" spans="1:20" x14ac:dyDescent="0.2">
      <c r="A11" s="12" t="s">
        <v>36</v>
      </c>
      <c r="B11" s="12" t="s">
        <v>46</v>
      </c>
      <c r="C11" s="12">
        <v>15</v>
      </c>
      <c r="D11" s="12">
        <v>9</v>
      </c>
      <c r="E11" s="12">
        <v>5</v>
      </c>
      <c r="F11" s="12">
        <v>3</v>
      </c>
      <c r="G11" s="12">
        <v>15.7183010578155</v>
      </c>
      <c r="H11" s="12">
        <v>423.66545885005002</v>
      </c>
      <c r="I11" s="32" t="s">
        <v>333</v>
      </c>
      <c r="J11" s="12">
        <v>45.282444000244098</v>
      </c>
      <c r="K11" s="12">
        <v>423.66545885005002</v>
      </c>
      <c r="N11">
        <f t="shared" si="0"/>
        <v>29.564142942428596</v>
      </c>
      <c r="Q11" s="12">
        <v>35.906702995300201</v>
      </c>
    </row>
    <row r="12" spans="1:20" x14ac:dyDescent="0.2">
      <c r="A12" s="12" t="s">
        <v>36</v>
      </c>
      <c r="B12" s="12" t="s">
        <v>47</v>
      </c>
      <c r="C12" s="12">
        <v>15</v>
      </c>
      <c r="D12" s="12">
        <v>4</v>
      </c>
      <c r="E12" s="12">
        <v>2</v>
      </c>
      <c r="F12" s="12">
        <v>5</v>
      </c>
      <c r="G12" s="12">
        <v>0.33563613891601501</v>
      </c>
      <c r="H12" s="12">
        <v>381.38661991924999</v>
      </c>
      <c r="I12" s="32" t="s">
        <v>333</v>
      </c>
      <c r="J12" s="12">
        <v>21.542212963104198</v>
      </c>
      <c r="K12" s="12">
        <v>381.38661991924999</v>
      </c>
      <c r="N12">
        <f t="shared" si="0"/>
        <v>21.206576824188183</v>
      </c>
      <c r="P12" s="11"/>
      <c r="Q12" s="12">
        <v>15.517138957977201</v>
      </c>
    </row>
    <row r="13" spans="1:20" x14ac:dyDescent="0.2">
      <c r="A13" s="12" t="s">
        <v>36</v>
      </c>
      <c r="B13" s="12" t="s">
        <v>48</v>
      </c>
      <c r="C13" s="12">
        <v>15</v>
      </c>
      <c r="D13" s="12">
        <v>7</v>
      </c>
      <c r="E13" s="12">
        <v>4</v>
      </c>
      <c r="F13" s="12">
        <v>4</v>
      </c>
      <c r="G13" s="12">
        <v>1.3070158958435001</v>
      </c>
      <c r="H13" s="12">
        <v>376.67449743063401</v>
      </c>
      <c r="I13" s="32" t="s">
        <v>333</v>
      </c>
      <c r="J13" s="12">
        <v>18.354244947433401</v>
      </c>
      <c r="K13" s="12">
        <v>367.48066805797299</v>
      </c>
      <c r="N13">
        <f t="shared" si="0"/>
        <v>17.047229051589902</v>
      </c>
      <c r="P13" s="12"/>
      <c r="Q13" s="12">
        <v>17.780095815658498</v>
      </c>
    </row>
    <row r="14" spans="1:20" x14ac:dyDescent="0.2">
      <c r="A14" s="12" t="s">
        <v>36</v>
      </c>
      <c r="B14" s="12" t="s">
        <v>49</v>
      </c>
      <c r="C14" s="12">
        <v>15</v>
      </c>
      <c r="D14" s="12">
        <v>9</v>
      </c>
      <c r="E14" s="12">
        <v>5</v>
      </c>
      <c r="F14" s="12">
        <v>3</v>
      </c>
      <c r="G14" s="12">
        <v>9.6191880702972394</v>
      </c>
      <c r="H14" s="12">
        <v>416.41796001933699</v>
      </c>
      <c r="I14" s="32" t="s">
        <v>333</v>
      </c>
      <c r="J14" s="12">
        <v>41.974719047546301</v>
      </c>
      <c r="K14" s="12">
        <v>416.41796001933699</v>
      </c>
      <c r="N14">
        <f t="shared" si="0"/>
        <v>32.35553097724906</v>
      </c>
      <c r="P14" s="12"/>
      <c r="Q14" s="12">
        <v>34.626158952712998</v>
      </c>
    </row>
    <row r="15" spans="1:20" x14ac:dyDescent="0.2">
      <c r="A15" s="12" t="s">
        <v>36</v>
      </c>
      <c r="B15" s="12" t="s">
        <v>50</v>
      </c>
      <c r="C15" s="12">
        <v>15</v>
      </c>
      <c r="D15" s="12">
        <v>4</v>
      </c>
      <c r="E15" s="12">
        <v>2</v>
      </c>
      <c r="F15" s="12">
        <v>4</v>
      </c>
      <c r="G15" s="12">
        <v>0.74049997329711903</v>
      </c>
      <c r="H15" s="12">
        <v>414.09153328182401</v>
      </c>
      <c r="I15" s="32" t="s">
        <v>333</v>
      </c>
      <c r="J15" s="12">
        <v>22.015564918517999</v>
      </c>
      <c r="K15" s="12">
        <v>414.09153328182401</v>
      </c>
      <c r="N15">
        <f t="shared" si="0"/>
        <v>21.27506494522088</v>
      </c>
      <c r="P15" s="12"/>
      <c r="Q15" s="12">
        <v>15.7463159561157</v>
      </c>
    </row>
    <row r="16" spans="1:20" x14ac:dyDescent="0.2">
      <c r="A16" s="12" t="s">
        <v>36</v>
      </c>
      <c r="B16" s="12" t="s">
        <v>51</v>
      </c>
      <c r="C16" s="12">
        <v>15</v>
      </c>
      <c r="D16" s="12">
        <v>7</v>
      </c>
      <c r="E16" s="12">
        <v>4</v>
      </c>
      <c r="F16" s="12">
        <v>3</v>
      </c>
      <c r="G16" s="12">
        <v>1.9225380420684799</v>
      </c>
      <c r="H16" s="12">
        <v>314.63320825020799</v>
      </c>
      <c r="I16" s="32" t="s">
        <v>333</v>
      </c>
      <c r="J16" s="12">
        <v>27.149822950363099</v>
      </c>
      <c r="K16" s="12">
        <v>314.63320825020901</v>
      </c>
      <c r="N16">
        <f t="shared" si="0"/>
        <v>25.227284908294617</v>
      </c>
      <c r="P16" s="12"/>
      <c r="Q16" s="12">
        <v>21.451474905013999</v>
      </c>
    </row>
    <row r="17" spans="1:17" x14ac:dyDescent="0.2">
      <c r="A17" s="12" t="s">
        <v>36</v>
      </c>
      <c r="B17" s="12" t="s">
        <v>52</v>
      </c>
      <c r="C17" s="12">
        <v>15</v>
      </c>
      <c r="D17" s="12">
        <v>9</v>
      </c>
      <c r="E17" s="12">
        <v>5</v>
      </c>
      <c r="F17" s="12">
        <v>3</v>
      </c>
      <c r="G17" s="12">
        <v>14.469151020050001</v>
      </c>
      <c r="H17" s="12">
        <v>425.37973631976899</v>
      </c>
      <c r="I17" s="32" t="s">
        <v>333</v>
      </c>
      <c r="J17" s="12">
        <v>50.891974925994802</v>
      </c>
      <c r="K17" s="12">
        <v>425.37973631976899</v>
      </c>
      <c r="N17">
        <f t="shared" si="0"/>
        <v>36.422823905944803</v>
      </c>
      <c r="P17" s="12"/>
      <c r="Q17" s="12">
        <v>50.094375133514397</v>
      </c>
    </row>
    <row r="18" spans="1:17" x14ac:dyDescent="0.2">
      <c r="A18" s="12" t="s">
        <v>36</v>
      </c>
      <c r="B18" s="12" t="s">
        <v>53</v>
      </c>
      <c r="C18" s="12">
        <v>15</v>
      </c>
      <c r="D18" s="12">
        <v>4</v>
      </c>
      <c r="E18" s="12">
        <v>2</v>
      </c>
      <c r="F18" s="12">
        <v>4</v>
      </c>
      <c r="G18" s="12">
        <v>0.51297497749328602</v>
      </c>
      <c r="H18" s="12">
        <v>434.61897856392102</v>
      </c>
      <c r="I18" s="32" t="s">
        <v>333</v>
      </c>
      <c r="J18" s="12">
        <v>20.9277198314666</v>
      </c>
      <c r="K18" s="12">
        <v>434.61897856392102</v>
      </c>
      <c r="N18">
        <f t="shared" si="0"/>
        <v>20.414744853973314</v>
      </c>
      <c r="P18" s="12"/>
      <c r="Q18" s="12">
        <v>15.5447678565979</v>
      </c>
    </row>
    <row r="19" spans="1:17" x14ac:dyDescent="0.2">
      <c r="A19" s="12" t="s">
        <v>36</v>
      </c>
      <c r="B19" s="12" t="s">
        <v>54</v>
      </c>
      <c r="C19" s="12">
        <v>15</v>
      </c>
      <c r="D19" s="12">
        <v>7</v>
      </c>
      <c r="E19" s="12">
        <v>4</v>
      </c>
      <c r="F19" s="12">
        <v>3</v>
      </c>
      <c r="G19" s="12">
        <v>3.4017081260681099</v>
      </c>
      <c r="H19" s="12">
        <v>326.762952311785</v>
      </c>
      <c r="I19" s="32" t="s">
        <v>333</v>
      </c>
      <c r="J19" s="12">
        <v>31.876256942748999</v>
      </c>
      <c r="K19" s="12">
        <v>326.762952311785</v>
      </c>
      <c r="N19">
        <f t="shared" si="0"/>
        <v>28.474548816680887</v>
      </c>
      <c r="P19" s="12"/>
      <c r="Q19" s="12">
        <v>22.4812171459198</v>
      </c>
    </row>
    <row r="20" spans="1:17" x14ac:dyDescent="0.2">
      <c r="A20" s="12" t="s">
        <v>36</v>
      </c>
      <c r="B20" s="12" t="s">
        <v>57</v>
      </c>
      <c r="C20" s="12">
        <v>15</v>
      </c>
      <c r="D20" s="12">
        <v>9</v>
      </c>
      <c r="E20" s="12">
        <v>5</v>
      </c>
      <c r="F20" s="12">
        <v>3</v>
      </c>
      <c r="G20" s="12">
        <v>4.3719139099120996</v>
      </c>
      <c r="H20" s="12">
        <v>346.86601759865601</v>
      </c>
      <c r="I20" s="32" t="s">
        <v>333</v>
      </c>
      <c r="J20" s="12">
        <v>43.178211927413898</v>
      </c>
      <c r="K20" s="12">
        <v>345.72645050332301</v>
      </c>
      <c r="N20">
        <f t="shared" si="0"/>
        <v>38.806298017501796</v>
      </c>
      <c r="P20" s="12"/>
      <c r="Q20" s="12">
        <v>31.479292154312098</v>
      </c>
    </row>
    <row r="21" spans="1:17" x14ac:dyDescent="0.2">
      <c r="A21" s="12" t="s">
        <v>36</v>
      </c>
      <c r="B21" s="12" t="s">
        <v>58</v>
      </c>
      <c r="C21" s="12">
        <v>15</v>
      </c>
      <c r="D21" s="12">
        <v>4</v>
      </c>
      <c r="E21" s="12">
        <v>2</v>
      </c>
      <c r="F21" s="12">
        <v>4</v>
      </c>
      <c r="G21" s="12">
        <v>0.85900211334228505</v>
      </c>
      <c r="H21" s="12">
        <v>395.878125988813</v>
      </c>
      <c r="I21" s="32" t="s">
        <v>333</v>
      </c>
      <c r="J21" s="12">
        <v>21.098966121673499</v>
      </c>
      <c r="K21" s="12">
        <v>395.878125988813</v>
      </c>
      <c r="N21">
        <f t="shared" si="0"/>
        <v>20.239964008331214</v>
      </c>
      <c r="P21" s="12"/>
      <c r="Q21" s="12">
        <v>15.284049034118601</v>
      </c>
    </row>
    <row r="22" spans="1:17" x14ac:dyDescent="0.2">
      <c r="A22" s="12" t="s">
        <v>36</v>
      </c>
      <c r="B22" s="12" t="s">
        <v>59</v>
      </c>
      <c r="C22" s="12">
        <v>15</v>
      </c>
      <c r="D22" s="12">
        <v>7</v>
      </c>
      <c r="E22" s="12">
        <v>4</v>
      </c>
      <c r="F22" s="12">
        <v>3</v>
      </c>
      <c r="G22" s="12">
        <v>2.23805403709411</v>
      </c>
      <c r="H22" s="12">
        <v>298.27040084693903</v>
      </c>
      <c r="I22" s="32" t="s">
        <v>333</v>
      </c>
      <c r="J22" s="12">
        <v>18.6930332183837</v>
      </c>
      <c r="K22" s="12">
        <v>298.27040084693903</v>
      </c>
      <c r="N22">
        <f t="shared" si="0"/>
        <v>16.454979181289591</v>
      </c>
      <c r="P22" s="12"/>
      <c r="Q22" s="12">
        <v>17.644335985183702</v>
      </c>
    </row>
    <row r="23" spans="1:17" x14ac:dyDescent="0.2">
      <c r="A23" s="12" t="s">
        <v>36</v>
      </c>
      <c r="B23" s="12" t="s">
        <v>60</v>
      </c>
      <c r="C23" s="12">
        <v>15</v>
      </c>
      <c r="D23" s="12">
        <v>9</v>
      </c>
      <c r="E23" s="12">
        <v>5</v>
      </c>
      <c r="F23" s="12">
        <v>3</v>
      </c>
      <c r="G23" s="12">
        <v>5.2264008522033603</v>
      </c>
      <c r="H23" s="12">
        <v>356.33508211584098</v>
      </c>
      <c r="I23" s="32" t="s">
        <v>333</v>
      </c>
      <c r="J23" s="12">
        <v>55.437237024307201</v>
      </c>
      <c r="K23" s="12">
        <v>349.97562071725997</v>
      </c>
      <c r="N23">
        <f t="shared" si="0"/>
        <v>50.210836172103839</v>
      </c>
      <c r="P23" s="12"/>
      <c r="Q23" s="12">
        <v>47.399043083190897</v>
      </c>
    </row>
    <row r="24" spans="1:17" x14ac:dyDescent="0.2">
      <c r="A24" s="12" t="s">
        <v>36</v>
      </c>
      <c r="B24" s="12" t="s">
        <v>61</v>
      </c>
      <c r="C24" s="12">
        <v>15</v>
      </c>
      <c r="D24" s="12">
        <v>4</v>
      </c>
      <c r="E24" s="12">
        <v>2</v>
      </c>
      <c r="F24" s="12">
        <v>4</v>
      </c>
      <c r="G24" s="12">
        <v>1.98198795318603</v>
      </c>
      <c r="H24" s="12">
        <v>448.96694351596699</v>
      </c>
      <c r="I24" s="32" t="s">
        <v>333</v>
      </c>
      <c r="J24" s="12">
        <v>16.6595649719238</v>
      </c>
      <c r="K24" s="12">
        <v>448.96694351596699</v>
      </c>
      <c r="N24">
        <f t="shared" si="0"/>
        <v>14.67757701873777</v>
      </c>
      <c r="P24" s="12"/>
      <c r="Q24" s="12">
        <v>17.5500168800354</v>
      </c>
    </row>
    <row r="25" spans="1:17" x14ac:dyDescent="0.2">
      <c r="A25" s="12" t="s">
        <v>36</v>
      </c>
      <c r="B25" s="12" t="s">
        <v>62</v>
      </c>
      <c r="C25" s="12">
        <v>15</v>
      </c>
      <c r="D25" s="12">
        <v>7</v>
      </c>
      <c r="E25" s="12">
        <v>4</v>
      </c>
      <c r="F25" s="12">
        <v>3</v>
      </c>
      <c r="G25" s="12">
        <v>2.3851838111877401</v>
      </c>
      <c r="H25" s="12">
        <v>389.65319045674897</v>
      </c>
      <c r="I25" s="32" t="s">
        <v>333</v>
      </c>
      <c r="J25" s="12">
        <v>21.287458181381201</v>
      </c>
      <c r="K25" s="12">
        <v>389.65319045674897</v>
      </c>
      <c r="N25">
        <f t="shared" si="0"/>
        <v>18.90227437019346</v>
      </c>
      <c r="P25" s="12"/>
      <c r="Q25" s="12">
        <v>23.774756193161</v>
      </c>
    </row>
    <row r="26" spans="1:17" x14ac:dyDescent="0.2">
      <c r="A26" s="12" t="s">
        <v>36</v>
      </c>
      <c r="B26" s="12" t="s">
        <v>63</v>
      </c>
      <c r="C26" s="12">
        <v>15</v>
      </c>
      <c r="D26" s="12">
        <v>9</v>
      </c>
      <c r="E26" s="12">
        <v>5</v>
      </c>
      <c r="F26" s="12">
        <v>3</v>
      </c>
      <c r="G26" s="12">
        <v>53.391561031341503</v>
      </c>
      <c r="H26" s="12">
        <v>434.295514907832</v>
      </c>
      <c r="I26" s="32" t="s">
        <v>333</v>
      </c>
      <c r="J26" s="12">
        <v>53.248608112335198</v>
      </c>
      <c r="K26" s="12">
        <v>434.29551490783302</v>
      </c>
      <c r="N26">
        <f t="shared" si="0"/>
        <v>-0.14295291900630502</v>
      </c>
      <c r="P26" s="12"/>
      <c r="Q26" s="12">
        <v>51.9437029361724</v>
      </c>
    </row>
    <row r="27" spans="1:17" x14ac:dyDescent="0.2">
      <c r="A27" s="12" t="s">
        <v>36</v>
      </c>
      <c r="B27" s="12" t="s">
        <v>64</v>
      </c>
      <c r="C27" s="12">
        <v>15</v>
      </c>
      <c r="D27" s="12">
        <v>4</v>
      </c>
      <c r="E27" s="12">
        <v>2</v>
      </c>
      <c r="F27" s="12">
        <v>4</v>
      </c>
      <c r="G27" s="12">
        <v>0.19819593429565399</v>
      </c>
      <c r="H27" s="12">
        <v>352.02200517602802</v>
      </c>
      <c r="I27" s="32" t="s">
        <v>333</v>
      </c>
      <c r="J27" s="12">
        <v>16.174305200576701</v>
      </c>
      <c r="K27" s="12">
        <v>352.02200517602699</v>
      </c>
      <c r="N27">
        <f t="shared" si="0"/>
        <v>15.976109266281046</v>
      </c>
      <c r="P27" s="12"/>
      <c r="Q27" s="12">
        <v>16.274513959884601</v>
      </c>
    </row>
    <row r="28" spans="1:17" x14ac:dyDescent="0.2">
      <c r="A28" s="12" t="s">
        <v>36</v>
      </c>
      <c r="B28" s="12" t="s">
        <v>65</v>
      </c>
      <c r="C28" s="12">
        <v>15</v>
      </c>
      <c r="D28" s="12">
        <v>7</v>
      </c>
      <c r="E28" s="12">
        <v>4</v>
      </c>
      <c r="F28" s="12">
        <v>3</v>
      </c>
      <c r="G28" s="12">
        <v>5.4506599903106601</v>
      </c>
      <c r="H28" s="12">
        <v>376.01188940240598</v>
      </c>
      <c r="I28" s="32" t="s">
        <v>333</v>
      </c>
      <c r="J28" s="12">
        <v>33.325517892837503</v>
      </c>
      <c r="K28" s="12">
        <v>376.01188940240598</v>
      </c>
      <c r="N28">
        <f t="shared" si="0"/>
        <v>27.874857902526841</v>
      </c>
      <c r="P28" s="12"/>
      <c r="Q28" s="12">
        <v>20.035085916519101</v>
      </c>
    </row>
    <row r="29" spans="1:17" x14ac:dyDescent="0.2">
      <c r="A29" s="12" t="s">
        <v>36</v>
      </c>
      <c r="B29" s="12" t="s">
        <v>66</v>
      </c>
      <c r="C29" s="12">
        <v>15</v>
      </c>
      <c r="D29" s="12">
        <v>9</v>
      </c>
      <c r="E29" s="12">
        <v>5</v>
      </c>
      <c r="F29" s="12">
        <v>4</v>
      </c>
      <c r="G29" s="12">
        <v>11.2188630104064</v>
      </c>
      <c r="H29" s="12">
        <v>431.01594474504901</v>
      </c>
      <c r="I29" s="32" t="s">
        <v>333</v>
      </c>
      <c r="J29" s="12">
        <v>48.447002887725802</v>
      </c>
      <c r="K29" s="12">
        <v>431.01594474504799</v>
      </c>
      <c r="N29">
        <f t="shared" si="0"/>
        <v>37.2281398773194</v>
      </c>
      <c r="P29" s="12"/>
      <c r="Q29" s="12">
        <v>37.971838951110797</v>
      </c>
    </row>
    <row r="30" spans="1:17" x14ac:dyDescent="0.2">
      <c r="A30" s="12" t="s">
        <v>36</v>
      </c>
      <c r="B30" s="12" t="s">
        <v>67</v>
      </c>
      <c r="C30" s="12">
        <v>15</v>
      </c>
      <c r="D30" s="12">
        <v>4</v>
      </c>
      <c r="E30" s="12">
        <v>2</v>
      </c>
      <c r="F30" s="12">
        <v>4</v>
      </c>
      <c r="G30" s="12">
        <v>1.30153584480285</v>
      </c>
      <c r="H30" s="12">
        <v>428.753736186151</v>
      </c>
      <c r="I30" s="32" t="s">
        <v>333</v>
      </c>
      <c r="J30" s="12">
        <v>20.613059997558501</v>
      </c>
      <c r="K30" s="12">
        <v>428.753736186151</v>
      </c>
      <c r="N30">
        <f t="shared" si="0"/>
        <v>19.311524152755652</v>
      </c>
      <c r="Q30" s="12">
        <v>16.416387081146201</v>
      </c>
    </row>
    <row r="31" spans="1:17" x14ac:dyDescent="0.2">
      <c r="A31" s="12" t="s">
        <v>36</v>
      </c>
      <c r="B31" s="12" t="s">
        <v>68</v>
      </c>
      <c r="C31" s="12">
        <v>15</v>
      </c>
      <c r="D31" s="12">
        <v>7</v>
      </c>
      <c r="E31" s="12">
        <v>4</v>
      </c>
      <c r="F31" s="12">
        <v>3</v>
      </c>
      <c r="G31" s="12">
        <v>7.9235289096832204</v>
      </c>
      <c r="H31" s="12">
        <v>316.02815874596399</v>
      </c>
      <c r="I31" s="32" t="s">
        <v>333</v>
      </c>
      <c r="J31" s="12">
        <v>26.1075789928436</v>
      </c>
      <c r="K31" s="12">
        <v>316.02815874596399</v>
      </c>
      <c r="N31">
        <f t="shared" si="0"/>
        <v>18.184050083160379</v>
      </c>
      <c r="Q31" s="12">
        <v>21.300256967544499</v>
      </c>
    </row>
    <row r="32" spans="1:17" x14ac:dyDescent="0.2">
      <c r="A32" s="12" t="s">
        <v>36</v>
      </c>
      <c r="B32" s="12" t="s">
        <v>69</v>
      </c>
      <c r="C32" s="12">
        <v>15</v>
      </c>
      <c r="D32" s="12">
        <v>9</v>
      </c>
      <c r="E32" s="12">
        <v>5</v>
      </c>
      <c r="F32" s="12">
        <v>3</v>
      </c>
      <c r="G32" s="12">
        <v>17.383395910263001</v>
      </c>
      <c r="H32" s="12">
        <v>425.83339051523399</v>
      </c>
      <c r="I32" s="32" t="s">
        <v>333</v>
      </c>
      <c r="J32" s="12">
        <v>32.799757003784102</v>
      </c>
      <c r="K32" s="12">
        <v>425.83339051523399</v>
      </c>
      <c r="N32">
        <f t="shared" si="0"/>
        <v>15.4163610935211</v>
      </c>
      <c r="Q32" s="12">
        <v>26.963293075561499</v>
      </c>
    </row>
    <row r="33" spans="1:17" x14ac:dyDescent="0.2">
      <c r="A33" s="12" t="s">
        <v>36</v>
      </c>
      <c r="B33" s="12" t="s">
        <v>70</v>
      </c>
      <c r="C33" s="12">
        <v>15</v>
      </c>
      <c r="D33" s="12">
        <v>4</v>
      </c>
      <c r="E33" s="12">
        <v>2</v>
      </c>
      <c r="F33" s="12">
        <v>4</v>
      </c>
      <c r="G33" s="12">
        <v>0.45725202560424799</v>
      </c>
      <c r="H33" s="12">
        <v>413.73207898380798</v>
      </c>
      <c r="I33" s="32" t="s">
        <v>333</v>
      </c>
      <c r="J33" s="12">
        <v>20.929651021957302</v>
      </c>
      <c r="K33" s="12">
        <v>413.73207898380798</v>
      </c>
      <c r="N33">
        <f t="shared" si="0"/>
        <v>20.472398996353053</v>
      </c>
      <c r="Q33" s="12">
        <v>15.324429988861</v>
      </c>
    </row>
    <row r="34" spans="1:17" x14ac:dyDescent="0.2">
      <c r="A34" s="12" t="s">
        <v>36</v>
      </c>
      <c r="B34" s="12" t="s">
        <v>71</v>
      </c>
      <c r="C34" s="12">
        <v>15</v>
      </c>
      <c r="D34" s="12">
        <v>7</v>
      </c>
      <c r="E34" s="12">
        <v>4</v>
      </c>
      <c r="F34" s="12">
        <v>3</v>
      </c>
      <c r="G34" s="12">
        <v>9.3899810314178396</v>
      </c>
      <c r="H34" s="12">
        <v>316.90014456721798</v>
      </c>
      <c r="I34" s="32" t="s">
        <v>333</v>
      </c>
      <c r="J34" s="12">
        <v>31.257658958435002</v>
      </c>
      <c r="K34" s="12">
        <v>316.90014456721798</v>
      </c>
      <c r="N34">
        <f t="shared" si="0"/>
        <v>21.867677927017162</v>
      </c>
      <c r="P34" s="11"/>
      <c r="Q34" s="12">
        <v>24.843891859054501</v>
      </c>
    </row>
    <row r="35" spans="1:17" x14ac:dyDescent="0.2">
      <c r="A35" s="12" t="s">
        <v>36</v>
      </c>
      <c r="B35" s="12" t="s">
        <v>72</v>
      </c>
      <c r="C35" s="12">
        <v>15</v>
      </c>
      <c r="D35" s="12">
        <v>9</v>
      </c>
      <c r="E35" s="12">
        <v>5</v>
      </c>
      <c r="F35" s="12">
        <v>3</v>
      </c>
      <c r="G35" s="12">
        <v>4.4547789096832204</v>
      </c>
      <c r="H35" s="12">
        <v>362.03011048975998</v>
      </c>
      <c r="I35" s="32" t="s">
        <v>333</v>
      </c>
      <c r="J35" s="12">
        <v>34.862261056900003</v>
      </c>
      <c r="K35" s="12">
        <v>362.03011048975998</v>
      </c>
      <c r="N35">
        <f t="shared" si="0"/>
        <v>30.407482147216783</v>
      </c>
      <c r="P35" s="12"/>
      <c r="Q35" s="12">
        <v>25.574748992919901</v>
      </c>
    </row>
    <row r="36" spans="1:17" x14ac:dyDescent="0.2">
      <c r="A36" s="12" t="s">
        <v>36</v>
      </c>
      <c r="B36" s="12" t="s">
        <v>73</v>
      </c>
      <c r="C36" s="12">
        <v>15</v>
      </c>
      <c r="D36" s="12">
        <v>4</v>
      </c>
      <c r="E36" s="12">
        <v>2</v>
      </c>
      <c r="F36" s="12">
        <v>3</v>
      </c>
      <c r="G36" s="12">
        <v>0.81330895423889105</v>
      </c>
      <c r="H36" s="12">
        <v>383.974715845079</v>
      </c>
      <c r="I36" s="32" t="s">
        <v>333</v>
      </c>
      <c r="J36" s="12">
        <v>16.4111630916595</v>
      </c>
      <c r="K36" s="12">
        <v>383.974715845079</v>
      </c>
      <c r="N36">
        <f t="shared" si="0"/>
        <v>15.597854137420608</v>
      </c>
      <c r="P36" s="12"/>
      <c r="Q36" s="12">
        <v>17.569656133651701</v>
      </c>
    </row>
    <row r="37" spans="1:17" x14ac:dyDescent="0.2">
      <c r="A37" s="12" t="s">
        <v>36</v>
      </c>
      <c r="B37" s="12" t="s">
        <v>74</v>
      </c>
      <c r="C37" s="12">
        <v>15</v>
      </c>
      <c r="D37" s="12">
        <v>7</v>
      </c>
      <c r="E37" s="12">
        <v>4</v>
      </c>
      <c r="F37" s="12">
        <v>3</v>
      </c>
      <c r="G37" s="12">
        <v>26.2085969448089</v>
      </c>
      <c r="H37" s="12">
        <v>331.17345430660703</v>
      </c>
      <c r="I37" s="32" t="s">
        <v>333</v>
      </c>
      <c r="J37" s="12">
        <v>171.51403713226301</v>
      </c>
      <c r="K37" s="12">
        <v>331.17345430660703</v>
      </c>
      <c r="N37">
        <f t="shared" si="0"/>
        <v>145.30544018745411</v>
      </c>
      <c r="P37" s="12"/>
      <c r="Q37" s="12">
        <v>20.250918149948099</v>
      </c>
    </row>
    <row r="38" spans="1:17" x14ac:dyDescent="0.2">
      <c r="A38" s="12" t="s">
        <v>36</v>
      </c>
      <c r="B38" s="12" t="s">
        <v>75</v>
      </c>
      <c r="C38" s="12">
        <v>15</v>
      </c>
      <c r="D38" s="12">
        <v>9</v>
      </c>
      <c r="E38" s="12">
        <v>5</v>
      </c>
      <c r="F38" s="12">
        <v>3</v>
      </c>
      <c r="G38" s="12">
        <v>3.75709700584411</v>
      </c>
      <c r="H38" s="12">
        <v>348.113495668486</v>
      </c>
      <c r="I38" s="32" t="s">
        <v>333</v>
      </c>
      <c r="J38" s="12">
        <v>36.879369020462001</v>
      </c>
      <c r="K38" s="12">
        <v>348.113495668486</v>
      </c>
      <c r="N38">
        <f t="shared" si="0"/>
        <v>33.122272014617892</v>
      </c>
      <c r="P38" s="12"/>
      <c r="Q38" s="12">
        <v>28.69087600708</v>
      </c>
    </row>
    <row r="39" spans="1:17" x14ac:dyDescent="0.2">
      <c r="A39" s="12" t="s">
        <v>36</v>
      </c>
      <c r="B39" s="12" t="s">
        <v>76</v>
      </c>
      <c r="C39" s="12">
        <v>15</v>
      </c>
      <c r="D39" s="12">
        <v>4</v>
      </c>
      <c r="E39" s="12">
        <v>2</v>
      </c>
      <c r="F39" s="12">
        <v>4</v>
      </c>
      <c r="G39" s="12">
        <v>1.7681698799133301</v>
      </c>
      <c r="H39" s="12">
        <v>422.87009412877802</v>
      </c>
      <c r="I39" s="32" t="s">
        <v>333</v>
      </c>
      <c r="J39" s="12">
        <v>22.934258937835601</v>
      </c>
      <c r="K39" s="12">
        <v>422.87009412877802</v>
      </c>
      <c r="N39">
        <f t="shared" si="0"/>
        <v>21.166089057922271</v>
      </c>
      <c r="P39" s="12"/>
      <c r="Q39" s="12">
        <v>17.210706949234002</v>
      </c>
    </row>
    <row r="40" spans="1:17" x14ac:dyDescent="0.2">
      <c r="A40" s="12" t="s">
        <v>36</v>
      </c>
      <c r="B40" s="12" t="s">
        <v>77</v>
      </c>
      <c r="C40" s="12">
        <v>15</v>
      </c>
      <c r="D40" s="12">
        <v>7</v>
      </c>
      <c r="E40" s="12">
        <v>4</v>
      </c>
      <c r="F40" s="12">
        <v>3</v>
      </c>
      <c r="G40" s="12">
        <v>3.59747910499572</v>
      </c>
      <c r="H40" s="12">
        <v>363.85369617237802</v>
      </c>
      <c r="I40" s="32" t="s">
        <v>333</v>
      </c>
      <c r="J40" s="12">
        <v>28.2723019123077</v>
      </c>
      <c r="K40" s="12">
        <v>363.85369617237802</v>
      </c>
      <c r="N40">
        <f t="shared" si="0"/>
        <v>24.67482280731198</v>
      </c>
      <c r="Q40" s="12">
        <v>27.234944820403999</v>
      </c>
    </row>
    <row r="41" spans="1:17" x14ac:dyDescent="0.2">
      <c r="A41" s="12" t="s">
        <v>36</v>
      </c>
      <c r="B41" s="12" t="s">
        <v>78</v>
      </c>
      <c r="C41" s="12">
        <v>15</v>
      </c>
      <c r="D41" s="12">
        <v>9</v>
      </c>
      <c r="E41" s="12">
        <v>5</v>
      </c>
      <c r="F41" s="12">
        <v>3</v>
      </c>
      <c r="G41" s="12">
        <v>49.735412120818999</v>
      </c>
      <c r="H41" s="12">
        <v>438.79240966109899</v>
      </c>
      <c r="I41" s="32" t="s">
        <v>333</v>
      </c>
      <c r="J41" s="12">
        <v>40.409984111785803</v>
      </c>
      <c r="K41" s="12">
        <v>438.79240966109899</v>
      </c>
      <c r="N41">
        <f t="shared" si="0"/>
        <v>-9.325428009033196</v>
      </c>
      <c r="Q41" s="12">
        <v>28.7104909420013</v>
      </c>
    </row>
    <row r="42" spans="1:17" x14ac:dyDescent="0.2">
      <c r="A42" s="12" t="s">
        <v>36</v>
      </c>
      <c r="B42" s="12" t="s">
        <v>79</v>
      </c>
      <c r="C42" s="12">
        <v>15</v>
      </c>
      <c r="D42" s="12">
        <v>4</v>
      </c>
      <c r="E42" s="12">
        <v>2</v>
      </c>
      <c r="F42" s="12">
        <v>4</v>
      </c>
      <c r="G42" s="12">
        <v>1.1802430152893</v>
      </c>
      <c r="H42" s="12">
        <v>344.907195589867</v>
      </c>
      <c r="I42" s="32" t="s">
        <v>333</v>
      </c>
      <c r="J42" s="12">
        <v>21.2929351329803</v>
      </c>
      <c r="K42" s="12">
        <v>344.907195589867</v>
      </c>
      <c r="N42">
        <f t="shared" si="0"/>
        <v>20.112692117691001</v>
      </c>
      <c r="Q42" s="12">
        <v>16.436365127563398</v>
      </c>
    </row>
    <row r="43" spans="1:17" x14ac:dyDescent="0.2">
      <c r="A43" s="12" t="s">
        <v>36</v>
      </c>
      <c r="B43" s="12" t="s">
        <v>80</v>
      </c>
      <c r="C43" s="12">
        <v>15</v>
      </c>
      <c r="D43" s="12">
        <v>7</v>
      </c>
      <c r="E43" s="12">
        <v>4</v>
      </c>
      <c r="F43" s="12">
        <v>3</v>
      </c>
      <c r="G43" s="12">
        <v>10.400403976440399</v>
      </c>
      <c r="H43" s="12">
        <v>344.43035120638399</v>
      </c>
      <c r="I43" s="32" t="s">
        <v>333</v>
      </c>
      <c r="J43" s="12">
        <v>55.812180042266803</v>
      </c>
      <c r="K43" s="12">
        <v>344.43035120638399</v>
      </c>
      <c r="N43">
        <f t="shared" si="0"/>
        <v>45.411776065826402</v>
      </c>
      <c r="Q43" s="12">
        <v>28.395704030990601</v>
      </c>
    </row>
    <row r="44" spans="1:17" x14ac:dyDescent="0.2">
      <c r="A44" s="12" t="s">
        <v>36</v>
      </c>
      <c r="B44" s="12" t="s">
        <v>81</v>
      </c>
      <c r="C44" s="12">
        <v>15</v>
      </c>
      <c r="D44" s="12">
        <v>9</v>
      </c>
      <c r="E44" s="12">
        <v>5</v>
      </c>
      <c r="F44" s="12">
        <v>3</v>
      </c>
      <c r="G44" s="12">
        <v>22.9385390281677</v>
      </c>
      <c r="H44" s="12">
        <v>406.37621964697797</v>
      </c>
      <c r="I44" s="32" t="s">
        <v>333</v>
      </c>
      <c r="J44" s="12">
        <v>40.845845937728797</v>
      </c>
      <c r="K44" s="12">
        <v>406.37621964697797</v>
      </c>
      <c r="N44">
        <f t="shared" si="0"/>
        <v>17.907306909561097</v>
      </c>
      <c r="P44" s="11"/>
      <c r="Q44" s="12">
        <v>31.940313100814802</v>
      </c>
    </row>
    <row r="45" spans="1:17" x14ac:dyDescent="0.2">
      <c r="A45" s="12" t="s">
        <v>36</v>
      </c>
      <c r="B45" s="12" t="s">
        <v>82</v>
      </c>
      <c r="C45" s="12">
        <v>15</v>
      </c>
      <c r="D45" s="12">
        <v>4</v>
      </c>
      <c r="E45" s="12">
        <v>2</v>
      </c>
      <c r="F45" s="12">
        <v>4</v>
      </c>
      <c r="G45" s="12">
        <v>1.68310499191284</v>
      </c>
      <c r="H45" s="12">
        <v>404.62637067668101</v>
      </c>
      <c r="I45" s="32" t="s">
        <v>333</v>
      </c>
      <c r="J45" s="12">
        <v>21.294457912445001</v>
      </c>
      <c r="K45" s="12">
        <v>404.62637067668101</v>
      </c>
      <c r="N45">
        <f t="shared" si="0"/>
        <v>19.611352920532163</v>
      </c>
      <c r="P45" s="12"/>
      <c r="Q45" s="12">
        <v>16.788575172424299</v>
      </c>
    </row>
    <row r="46" spans="1:17" x14ac:dyDescent="0.2">
      <c r="A46" s="12" t="s">
        <v>36</v>
      </c>
      <c r="B46" s="12" t="s">
        <v>83</v>
      </c>
      <c r="C46" s="12">
        <v>15</v>
      </c>
      <c r="D46" s="12">
        <v>7</v>
      </c>
      <c r="E46" s="12">
        <v>4</v>
      </c>
      <c r="F46" s="12">
        <v>3</v>
      </c>
      <c r="G46" s="12">
        <v>11.4550201892852</v>
      </c>
      <c r="H46" s="12">
        <v>306.37536544450899</v>
      </c>
      <c r="I46" s="32" t="s">
        <v>333</v>
      </c>
      <c r="J46" s="12">
        <v>25.950855970382602</v>
      </c>
      <c r="K46" s="12">
        <v>306.37536544450899</v>
      </c>
      <c r="N46">
        <f t="shared" si="0"/>
        <v>14.495835781097401</v>
      </c>
      <c r="P46" s="12"/>
      <c r="Q46" s="12">
        <v>18.196367979049601</v>
      </c>
    </row>
    <row r="47" spans="1:17" x14ac:dyDescent="0.2">
      <c r="A47" s="12" t="s">
        <v>36</v>
      </c>
      <c r="B47" s="12" t="s">
        <v>84</v>
      </c>
      <c r="C47" s="12">
        <v>15</v>
      </c>
      <c r="D47" s="12">
        <v>9</v>
      </c>
      <c r="E47" s="12">
        <v>5</v>
      </c>
      <c r="F47" s="12">
        <v>3</v>
      </c>
      <c r="G47" s="12">
        <v>82.588228940963702</v>
      </c>
      <c r="H47" s="12">
        <v>417.95489515321998</v>
      </c>
      <c r="I47" s="32" t="s">
        <v>333</v>
      </c>
      <c r="J47" s="12">
        <v>77.263696908950806</v>
      </c>
      <c r="K47" s="12">
        <v>417.95489515321998</v>
      </c>
      <c r="N47">
        <f t="shared" si="0"/>
        <v>-5.3245320320128968</v>
      </c>
      <c r="P47" s="12"/>
      <c r="Q47" s="12">
        <v>40.662039041519101</v>
      </c>
    </row>
    <row r="48" spans="1:17" x14ac:dyDescent="0.2">
      <c r="A48" s="12" t="s">
        <v>36</v>
      </c>
      <c r="B48" s="12" t="s">
        <v>85</v>
      </c>
      <c r="C48" s="12">
        <v>15</v>
      </c>
      <c r="D48" s="12">
        <v>4</v>
      </c>
      <c r="E48" s="12">
        <v>2</v>
      </c>
      <c r="F48" s="12">
        <v>4</v>
      </c>
      <c r="G48" s="12">
        <v>2.0885469913482599</v>
      </c>
      <c r="H48" s="12">
        <v>414.79805324134702</v>
      </c>
      <c r="I48" s="32" t="s">
        <v>333</v>
      </c>
      <c r="J48" s="12">
        <v>22.700996160507199</v>
      </c>
      <c r="K48" s="12">
        <v>414.79805324134702</v>
      </c>
      <c r="N48">
        <f t="shared" si="0"/>
        <v>20.612449169158939</v>
      </c>
      <c r="P48" s="12"/>
      <c r="Q48" s="12">
        <v>15.8134939670562</v>
      </c>
    </row>
    <row r="49" spans="1:17" x14ac:dyDescent="0.2">
      <c r="A49" s="12" t="s">
        <v>36</v>
      </c>
      <c r="B49" s="12" t="s">
        <v>86</v>
      </c>
      <c r="C49" s="12">
        <v>15</v>
      </c>
      <c r="D49" s="12">
        <v>7</v>
      </c>
      <c r="E49" s="12">
        <v>4</v>
      </c>
      <c r="F49" s="12">
        <v>3</v>
      </c>
      <c r="G49" s="12">
        <v>4.5400750637054399</v>
      </c>
      <c r="H49" s="12">
        <v>318.84458180724403</v>
      </c>
      <c r="I49" s="32" t="s">
        <v>333</v>
      </c>
      <c r="J49" s="12">
        <v>19.3970351219177</v>
      </c>
      <c r="K49" s="12">
        <v>318.84458180724403</v>
      </c>
      <c r="N49">
        <f t="shared" si="0"/>
        <v>14.856960058212259</v>
      </c>
      <c r="P49" s="12"/>
      <c r="Q49" s="12">
        <v>18.719990968704199</v>
      </c>
    </row>
    <row r="50" spans="1:17" x14ac:dyDescent="0.2">
      <c r="A50" s="12" t="s">
        <v>36</v>
      </c>
      <c r="B50" s="12" t="s">
        <v>87</v>
      </c>
      <c r="C50" s="12">
        <v>15</v>
      </c>
      <c r="D50" s="12">
        <v>9</v>
      </c>
      <c r="E50" s="12">
        <v>5</v>
      </c>
      <c r="F50" s="12">
        <v>3</v>
      </c>
      <c r="G50" s="12">
        <v>7.8741779327392498</v>
      </c>
      <c r="H50" s="12">
        <v>362.090963027469</v>
      </c>
      <c r="I50" s="32" t="s">
        <v>333</v>
      </c>
      <c r="J50" s="12">
        <v>49.3613150119781</v>
      </c>
      <c r="K50" s="12">
        <v>362.090963027469</v>
      </c>
      <c r="N50">
        <f t="shared" si="0"/>
        <v>41.487137079238849</v>
      </c>
      <c r="P50" s="12"/>
      <c r="Q50" s="12">
        <v>31.982897996902398</v>
      </c>
    </row>
    <row r="51" spans="1:17" x14ac:dyDescent="0.2">
      <c r="A51" s="12" t="s">
        <v>36</v>
      </c>
      <c r="B51" s="12" t="s">
        <v>88</v>
      </c>
      <c r="C51" s="12">
        <v>15</v>
      </c>
      <c r="D51" s="12">
        <v>4</v>
      </c>
      <c r="E51" s="12">
        <v>2</v>
      </c>
      <c r="F51" s="12">
        <v>3</v>
      </c>
      <c r="G51" s="12">
        <v>6.5473558902740399</v>
      </c>
      <c r="H51" s="12">
        <v>362.17880575783101</v>
      </c>
      <c r="I51" s="32" t="s">
        <v>333</v>
      </c>
      <c r="J51" s="12">
        <v>22.3223619461059</v>
      </c>
      <c r="K51" s="12">
        <v>362.17880575783101</v>
      </c>
      <c r="N51">
        <f t="shared" si="0"/>
        <v>15.775006055831859</v>
      </c>
      <c r="P51" s="12"/>
      <c r="Q51" s="12">
        <v>16.837337017059301</v>
      </c>
    </row>
    <row r="52" spans="1:17" x14ac:dyDescent="0.2">
      <c r="A52" s="12" t="s">
        <v>36</v>
      </c>
      <c r="B52" s="12" t="s">
        <v>89</v>
      </c>
      <c r="C52" s="12">
        <v>15</v>
      </c>
      <c r="D52" s="12">
        <v>7</v>
      </c>
      <c r="E52" s="12">
        <v>4</v>
      </c>
      <c r="F52" s="12">
        <v>3</v>
      </c>
      <c r="G52" s="12">
        <v>12.1177990436553</v>
      </c>
      <c r="H52" s="12">
        <v>328.35823822856599</v>
      </c>
      <c r="I52" s="32" t="s">
        <v>333</v>
      </c>
      <c r="J52" s="12">
        <v>105.298999071121</v>
      </c>
      <c r="K52" s="12">
        <v>328.35823822856702</v>
      </c>
      <c r="N52">
        <f t="shared" si="0"/>
        <v>93.181200027465707</v>
      </c>
      <c r="Q52" s="12">
        <v>25.171837091445902</v>
      </c>
    </row>
    <row r="53" spans="1:17" x14ac:dyDescent="0.2">
      <c r="A53" s="12" t="s">
        <v>36</v>
      </c>
      <c r="B53" s="12" t="s">
        <v>90</v>
      </c>
      <c r="C53" s="12">
        <v>15</v>
      </c>
      <c r="D53" s="12">
        <v>9</v>
      </c>
      <c r="E53" s="12">
        <v>5</v>
      </c>
      <c r="F53" s="12">
        <v>3</v>
      </c>
      <c r="G53" s="12">
        <v>22.641845941543501</v>
      </c>
      <c r="H53" s="12">
        <v>359.79859533424201</v>
      </c>
      <c r="I53" s="32" t="s">
        <v>333</v>
      </c>
      <c r="J53" s="12">
        <v>42.970618009567197</v>
      </c>
      <c r="K53" s="12">
        <v>359.79859533424201</v>
      </c>
      <c r="N53">
        <f t="shared" si="0"/>
        <v>20.328772068023696</v>
      </c>
      <c r="Q53" s="12">
        <v>32.284032106399501</v>
      </c>
    </row>
    <row r="54" spans="1:17" x14ac:dyDescent="0.2">
      <c r="A54" s="12" t="s">
        <v>36</v>
      </c>
      <c r="B54" s="12" t="s">
        <v>91</v>
      </c>
      <c r="C54" s="12">
        <v>15</v>
      </c>
      <c r="D54" s="12">
        <v>4</v>
      </c>
      <c r="E54" s="12">
        <v>2</v>
      </c>
      <c r="F54" s="12">
        <v>4</v>
      </c>
      <c r="G54" s="12">
        <v>0.67835998535156194</v>
      </c>
      <c r="H54" s="12">
        <v>432.43329039236801</v>
      </c>
      <c r="I54" s="32" t="s">
        <v>333</v>
      </c>
      <c r="J54" s="12">
        <v>22.759043931960999</v>
      </c>
      <c r="K54" s="12">
        <v>432.43329039236801</v>
      </c>
      <c r="N54">
        <f t="shared" si="0"/>
        <v>22.080683946609437</v>
      </c>
      <c r="Q54" s="12">
        <v>15.6171760559082</v>
      </c>
    </row>
    <row r="55" spans="1:17" x14ac:dyDescent="0.2">
      <c r="A55" s="12" t="s">
        <v>36</v>
      </c>
      <c r="B55" s="12" t="s">
        <v>92</v>
      </c>
      <c r="C55" s="12">
        <v>15</v>
      </c>
      <c r="D55" s="12">
        <v>7</v>
      </c>
      <c r="E55" s="12">
        <v>4</v>
      </c>
      <c r="F55" s="12">
        <v>3</v>
      </c>
      <c r="G55" s="12">
        <v>2.2821800708770699</v>
      </c>
      <c r="H55" s="12">
        <v>404.77297938692698</v>
      </c>
      <c r="I55" s="32" t="s">
        <v>333</v>
      </c>
      <c r="J55" s="12">
        <v>25.966499090194699</v>
      </c>
      <c r="K55" s="12">
        <v>404.77297938692698</v>
      </c>
      <c r="N55">
        <f t="shared" si="0"/>
        <v>23.684319019317627</v>
      </c>
      <c r="Q55" s="12">
        <v>19.809451103210399</v>
      </c>
    </row>
    <row r="56" spans="1:17" x14ac:dyDescent="0.2">
      <c r="A56" s="12" t="s">
        <v>36</v>
      </c>
      <c r="B56" s="12" t="s">
        <v>93</v>
      </c>
      <c r="C56" s="12">
        <v>15</v>
      </c>
      <c r="D56" s="12">
        <v>9</v>
      </c>
      <c r="E56" s="12">
        <v>5</v>
      </c>
      <c r="F56" s="12">
        <v>3</v>
      </c>
      <c r="G56" s="12">
        <v>27.143266916275</v>
      </c>
      <c r="H56" s="12">
        <v>426.947268663616</v>
      </c>
      <c r="I56" s="32" t="s">
        <v>333</v>
      </c>
      <c r="J56" s="12">
        <v>46.556047916412297</v>
      </c>
      <c r="K56" s="12">
        <v>426.947268663616</v>
      </c>
      <c r="N56">
        <f t="shared" si="0"/>
        <v>19.412781000137297</v>
      </c>
      <c r="Q56" s="12">
        <v>45.204749107360797</v>
      </c>
    </row>
    <row r="57" spans="1:17" x14ac:dyDescent="0.2">
      <c r="A57" s="12" t="s">
        <v>36</v>
      </c>
      <c r="B57" s="12" t="s">
        <v>94</v>
      </c>
      <c r="C57" s="12">
        <v>15</v>
      </c>
      <c r="D57" s="12">
        <v>4</v>
      </c>
      <c r="E57" s="12">
        <v>2</v>
      </c>
      <c r="F57" s="12">
        <v>3</v>
      </c>
      <c r="G57" s="12">
        <v>0.20988702774047799</v>
      </c>
      <c r="H57" s="12">
        <v>346.11204055300198</v>
      </c>
      <c r="I57" s="32" t="s">
        <v>333</v>
      </c>
      <c r="J57" s="12">
        <v>16.209692001342699</v>
      </c>
      <c r="K57" s="12">
        <v>346.11204055300198</v>
      </c>
      <c r="N57">
        <f t="shared" si="0"/>
        <v>15.99980497360222</v>
      </c>
      <c r="Q57" s="12">
        <v>16.382435083389201</v>
      </c>
    </row>
    <row r="58" spans="1:17" x14ac:dyDescent="0.2">
      <c r="A58" s="12" t="s">
        <v>36</v>
      </c>
      <c r="B58" s="12" t="s">
        <v>95</v>
      </c>
      <c r="C58" s="12">
        <v>15</v>
      </c>
      <c r="D58" s="12">
        <v>7</v>
      </c>
      <c r="E58" s="12">
        <v>4</v>
      </c>
      <c r="F58" s="12">
        <v>3</v>
      </c>
      <c r="G58" s="12">
        <v>1.0190250873565601</v>
      </c>
      <c r="H58" s="12">
        <v>347.89890304146297</v>
      </c>
      <c r="I58" s="32" t="s">
        <v>333</v>
      </c>
      <c r="J58" s="12">
        <v>28.7915730476379</v>
      </c>
      <c r="K58" s="12">
        <v>347.89890304146297</v>
      </c>
      <c r="N58">
        <f t="shared" si="0"/>
        <v>27.77254796028134</v>
      </c>
      <c r="Q58" s="12">
        <v>21.629945993423402</v>
      </c>
    </row>
    <row r="59" spans="1:17" x14ac:dyDescent="0.2">
      <c r="A59" s="12" t="s">
        <v>36</v>
      </c>
      <c r="B59" s="12" t="s">
        <v>96</v>
      </c>
      <c r="C59" s="12">
        <v>15</v>
      </c>
      <c r="D59" s="12">
        <v>9</v>
      </c>
      <c r="E59" s="12">
        <v>5</v>
      </c>
      <c r="F59" s="12">
        <v>3</v>
      </c>
      <c r="G59" s="12">
        <v>4.9280889034271196</v>
      </c>
      <c r="H59" s="12">
        <v>409.85191654430702</v>
      </c>
      <c r="I59" s="32" t="s">
        <v>333</v>
      </c>
      <c r="J59" s="12">
        <v>34.667320966720503</v>
      </c>
      <c r="K59" s="12">
        <v>409.85191654430702</v>
      </c>
      <c r="N59">
        <f t="shared" si="0"/>
        <v>29.739232063293382</v>
      </c>
      <c r="Q59" s="12">
        <v>25.421748876571598</v>
      </c>
    </row>
    <row r="60" spans="1:17" x14ac:dyDescent="0.2">
      <c r="A60" s="12" t="s">
        <v>36</v>
      </c>
      <c r="B60" s="12" t="s">
        <v>97</v>
      </c>
      <c r="C60" s="12">
        <v>15</v>
      </c>
      <c r="D60" s="12">
        <v>4</v>
      </c>
      <c r="E60" s="12">
        <v>2</v>
      </c>
      <c r="F60" s="12">
        <v>3</v>
      </c>
      <c r="G60" s="12">
        <v>0.34592890739440901</v>
      </c>
      <c r="H60" s="12">
        <v>409.58401854260899</v>
      </c>
      <c r="I60" s="32" t="s">
        <v>333</v>
      </c>
      <c r="J60" s="12">
        <v>21.2941009998321</v>
      </c>
      <c r="K60" s="12">
        <v>409.58401854260802</v>
      </c>
      <c r="N60">
        <f t="shared" si="0"/>
        <v>20.948172092437691</v>
      </c>
      <c r="Q60" s="12">
        <v>16.7279019355773</v>
      </c>
    </row>
    <row r="61" spans="1:17" x14ac:dyDescent="0.2">
      <c r="A61" s="12" t="s">
        <v>36</v>
      </c>
      <c r="B61" s="12" t="s">
        <v>98</v>
      </c>
      <c r="C61" s="12">
        <v>15</v>
      </c>
      <c r="D61" s="12">
        <v>7</v>
      </c>
      <c r="E61" s="12">
        <v>4</v>
      </c>
      <c r="F61" s="12">
        <v>3</v>
      </c>
      <c r="G61" s="12">
        <v>2.3246359825134202</v>
      </c>
      <c r="H61" s="12">
        <v>306.93271265014999</v>
      </c>
      <c r="I61" s="32" t="s">
        <v>333</v>
      </c>
      <c r="J61" s="12">
        <v>18.469254016876199</v>
      </c>
      <c r="K61" s="12">
        <v>306.93271265014999</v>
      </c>
      <c r="N61">
        <f t="shared" si="0"/>
        <v>16.144618034362779</v>
      </c>
      <c r="Q61" s="12">
        <v>17.529958963394101</v>
      </c>
    </row>
    <row r="62" spans="1:17" x14ac:dyDescent="0.2">
      <c r="A62" s="12" t="s">
        <v>36</v>
      </c>
      <c r="B62" s="12" t="s">
        <v>99</v>
      </c>
      <c r="C62" s="12">
        <v>15</v>
      </c>
      <c r="D62" s="12">
        <v>9</v>
      </c>
      <c r="E62" s="12">
        <v>5</v>
      </c>
      <c r="F62" s="12">
        <v>3</v>
      </c>
      <c r="G62" s="12">
        <v>18.4901568889617</v>
      </c>
      <c r="H62" s="12">
        <v>421.83386504963801</v>
      </c>
      <c r="I62" s="32" t="s">
        <v>333</v>
      </c>
      <c r="J62" s="12">
        <v>48.267436027526799</v>
      </c>
      <c r="K62" s="12">
        <v>421.83386504963801</v>
      </c>
      <c r="N62">
        <f t="shared" si="0"/>
        <v>29.777279138565099</v>
      </c>
      <c r="Q62" s="12">
        <v>31.899246931076</v>
      </c>
    </row>
    <row r="63" spans="1:17" x14ac:dyDescent="0.2">
      <c r="A63" s="12" t="s">
        <v>36</v>
      </c>
      <c r="B63" s="12" t="s">
        <v>100</v>
      </c>
      <c r="C63" s="12">
        <v>15</v>
      </c>
      <c r="D63" s="12">
        <v>4</v>
      </c>
      <c r="E63" s="12">
        <v>2</v>
      </c>
      <c r="F63" s="12">
        <v>4</v>
      </c>
      <c r="G63" s="12">
        <v>0.63583493232726995</v>
      </c>
      <c r="H63" s="12">
        <v>425.73855345323301</v>
      </c>
      <c r="I63" s="32" t="s">
        <v>333</v>
      </c>
      <c r="J63" s="12">
        <v>22.089571952819799</v>
      </c>
      <c r="K63" s="12">
        <v>425.73855345323301</v>
      </c>
      <c r="N63">
        <f t="shared" si="0"/>
        <v>21.453737020492529</v>
      </c>
      <c r="Q63" s="12">
        <v>15.4843549728393</v>
      </c>
    </row>
    <row r="64" spans="1:17" x14ac:dyDescent="0.2">
      <c r="A64" s="12" t="s">
        <v>36</v>
      </c>
      <c r="B64" s="12" t="s">
        <v>101</v>
      </c>
      <c r="C64" s="12">
        <v>15</v>
      </c>
      <c r="D64" s="12">
        <v>7</v>
      </c>
      <c r="E64" s="12">
        <v>4</v>
      </c>
      <c r="F64" s="12">
        <v>3</v>
      </c>
      <c r="G64" s="12">
        <v>2.6567740440368599</v>
      </c>
      <c r="H64" s="12">
        <v>326.22392328120799</v>
      </c>
      <c r="I64" s="32" t="s">
        <v>333</v>
      </c>
      <c r="J64" s="12">
        <v>34.535061120986903</v>
      </c>
      <c r="K64" s="12">
        <v>326.22392328120799</v>
      </c>
      <c r="N64">
        <f t="shared" si="0"/>
        <v>31.878287076950045</v>
      </c>
      <c r="Q64" s="12">
        <v>21.073295831680198</v>
      </c>
    </row>
    <row r="65" spans="1:17" x14ac:dyDescent="0.2">
      <c r="A65" s="12" t="s">
        <v>36</v>
      </c>
      <c r="B65" s="12" t="s">
        <v>102</v>
      </c>
      <c r="C65" s="12">
        <v>15</v>
      </c>
      <c r="D65" s="12">
        <v>9</v>
      </c>
      <c r="E65" s="12">
        <v>5</v>
      </c>
      <c r="F65" s="12">
        <v>3</v>
      </c>
      <c r="G65" s="12">
        <v>4.7829129695892298</v>
      </c>
      <c r="H65" s="12">
        <v>359.16648182251703</v>
      </c>
      <c r="I65" s="32" t="s">
        <v>333</v>
      </c>
      <c r="J65" s="12">
        <v>48.137876033782902</v>
      </c>
      <c r="K65" s="12">
        <v>359.16648182251703</v>
      </c>
      <c r="N65">
        <f t="shared" si="0"/>
        <v>43.354963064193669</v>
      </c>
      <c r="Q65" s="12">
        <v>41.607901811599703</v>
      </c>
    </row>
    <row r="66" spans="1:17" x14ac:dyDescent="0.2">
      <c r="A66" s="12" t="s">
        <v>36</v>
      </c>
      <c r="B66" s="12" t="s">
        <v>103</v>
      </c>
      <c r="C66" s="12">
        <v>15</v>
      </c>
      <c r="D66" s="12">
        <v>4</v>
      </c>
      <c r="E66" s="12">
        <v>2</v>
      </c>
      <c r="F66" s="12">
        <v>4</v>
      </c>
      <c r="G66" s="12">
        <v>0.47562313079833901</v>
      </c>
      <c r="H66" s="12">
        <v>384.57416531065502</v>
      </c>
      <c r="I66" s="32" t="s">
        <v>333</v>
      </c>
      <c r="J66" s="12">
        <v>21.326898813247599</v>
      </c>
      <c r="K66" s="12">
        <v>384.574165310654</v>
      </c>
      <c r="N66">
        <f t="shared" si="0"/>
        <v>20.851275682449259</v>
      </c>
      <c r="Q66" s="12">
        <v>15.6049618721008</v>
      </c>
    </row>
    <row r="67" spans="1:17" x14ac:dyDescent="0.2">
      <c r="A67" s="12" t="s">
        <v>36</v>
      </c>
      <c r="B67" s="12" t="s">
        <v>104</v>
      </c>
      <c r="C67" s="12">
        <v>15</v>
      </c>
      <c r="D67" s="12">
        <v>7</v>
      </c>
      <c r="E67" s="12">
        <v>4</v>
      </c>
      <c r="F67" s="12">
        <v>3</v>
      </c>
      <c r="G67" s="12">
        <v>2.90654301643371</v>
      </c>
      <c r="H67" s="12">
        <v>331.75037711574998</v>
      </c>
      <c r="I67" s="32" t="s">
        <v>333</v>
      </c>
      <c r="J67" s="12">
        <v>31.647666931152301</v>
      </c>
      <c r="K67" s="12">
        <v>331.75037711574998</v>
      </c>
      <c r="N67">
        <f t="shared" si="0"/>
        <v>28.741123914718592</v>
      </c>
      <c r="Q67" s="12">
        <v>22.647531032562199</v>
      </c>
    </row>
    <row r="68" spans="1:17" s="33" customFormat="1" x14ac:dyDescent="0.2">
      <c r="G68" s="33">
        <f>AVERAGE(G9:G67)</f>
        <v>8.8058538032790192</v>
      </c>
      <c r="I68" s="34"/>
      <c r="J68" s="33">
        <f>AVERAGE(J9:J67)</f>
        <v>34.759571851310049</v>
      </c>
      <c r="L68" s="36"/>
      <c r="N68" s="33">
        <f>COUNTIF(N9:N67,"&lt;0")</f>
        <v>3</v>
      </c>
      <c r="Q68" s="33">
        <f>AVERAGE(Q9:Q67)</f>
        <v>24.291761200306752</v>
      </c>
    </row>
    <row r="70" spans="1:17" x14ac:dyDescent="0.2">
      <c r="A70" s="11" t="s">
        <v>36</v>
      </c>
      <c r="B70" s="11" t="s">
        <v>105</v>
      </c>
      <c r="C70" s="11">
        <v>20</v>
      </c>
      <c r="D70" s="11">
        <v>4</v>
      </c>
      <c r="E70" s="11">
        <v>2</v>
      </c>
      <c r="F70" s="11">
        <v>5</v>
      </c>
      <c r="G70" s="11">
        <v>1.4356539249420099</v>
      </c>
      <c r="H70" s="11">
        <v>460.40102121365601</v>
      </c>
      <c r="I70" s="31" t="s">
        <v>333</v>
      </c>
      <c r="J70" s="11">
        <v>21.632395982742299</v>
      </c>
      <c r="K70" s="11">
        <v>460.40102121365601</v>
      </c>
      <c r="N70" s="11">
        <f>J70-G70</f>
        <v>20.196742057800289</v>
      </c>
      <c r="O70" s="11">
        <v>17.7832881641794</v>
      </c>
      <c r="Q70" s="11">
        <v>17.248656034469601</v>
      </c>
    </row>
    <row r="71" spans="1:17" x14ac:dyDescent="0.2">
      <c r="A71" s="12" t="s">
        <v>36</v>
      </c>
      <c r="B71" s="12" t="s">
        <v>106</v>
      </c>
      <c r="C71" s="12">
        <v>20</v>
      </c>
      <c r="D71" s="12">
        <v>4</v>
      </c>
      <c r="E71" s="12">
        <v>2</v>
      </c>
      <c r="F71" s="12">
        <v>5</v>
      </c>
      <c r="G71" s="12">
        <v>3.2624249458312899</v>
      </c>
      <c r="H71" s="12">
        <v>432.62012482485397</v>
      </c>
      <c r="I71" s="32" t="s">
        <v>333</v>
      </c>
      <c r="J71" s="12">
        <v>31.6523659229278</v>
      </c>
      <c r="K71" s="12">
        <v>432.62012482485397</v>
      </c>
      <c r="N71" s="11">
        <f t="shared" ref="N71:N89" si="1">J71-G71</f>
        <v>28.389940977096508</v>
      </c>
      <c r="O71" s="12">
        <v>29.753146998092799</v>
      </c>
      <c r="Q71" s="12">
        <v>16.773440122604299</v>
      </c>
    </row>
    <row r="72" spans="1:17" x14ac:dyDescent="0.2">
      <c r="A72" s="12" t="s">
        <v>36</v>
      </c>
      <c r="B72" s="12" t="s">
        <v>107</v>
      </c>
      <c r="C72" s="12">
        <v>20</v>
      </c>
      <c r="D72" s="12">
        <v>4</v>
      </c>
      <c r="E72" s="12">
        <v>2</v>
      </c>
      <c r="F72" s="12">
        <v>5</v>
      </c>
      <c r="G72" s="12">
        <v>4.4515068531036297</v>
      </c>
      <c r="H72" s="12">
        <v>488.12489352275901</v>
      </c>
      <c r="I72" s="32" t="s">
        <v>333</v>
      </c>
      <c r="J72" s="12">
        <v>27.8288459777832</v>
      </c>
      <c r="K72" s="12">
        <v>488.12489352275901</v>
      </c>
      <c r="N72" s="11">
        <f t="shared" si="1"/>
        <v>23.377339124679569</v>
      </c>
      <c r="O72" s="12">
        <v>23.1787533028753</v>
      </c>
      <c r="Q72" s="12">
        <v>17.095127105712798</v>
      </c>
    </row>
    <row r="73" spans="1:17" x14ac:dyDescent="0.2">
      <c r="A73" s="12" t="s">
        <v>36</v>
      </c>
      <c r="B73" s="12" t="s">
        <v>108</v>
      </c>
      <c r="C73" s="12">
        <v>20</v>
      </c>
      <c r="D73" s="12">
        <v>4</v>
      </c>
      <c r="E73" s="12">
        <v>2</v>
      </c>
      <c r="F73" s="12">
        <v>4</v>
      </c>
      <c r="G73" s="12">
        <v>2.1983671188354399</v>
      </c>
      <c r="H73" s="12">
        <v>503.85466725470798</v>
      </c>
      <c r="I73" s="32" t="s">
        <v>333</v>
      </c>
      <c r="J73" s="12">
        <v>27.516474962234401</v>
      </c>
      <c r="K73" s="12">
        <v>503.85466725470798</v>
      </c>
      <c r="N73" s="11">
        <f t="shared" si="1"/>
        <v>25.318107843398963</v>
      </c>
      <c r="O73" s="12">
        <v>21.9829918283646</v>
      </c>
      <c r="Q73" s="12">
        <v>16.508147001266401</v>
      </c>
    </row>
    <row r="74" spans="1:17" x14ac:dyDescent="0.2">
      <c r="A74" s="12" t="s">
        <v>36</v>
      </c>
      <c r="B74" s="12" t="s">
        <v>109</v>
      </c>
      <c r="C74" s="12">
        <v>20</v>
      </c>
      <c r="D74" s="12">
        <v>4</v>
      </c>
      <c r="E74" s="12">
        <v>2</v>
      </c>
      <c r="F74" s="12">
        <v>5</v>
      </c>
      <c r="G74" s="12">
        <v>5.16253590583801</v>
      </c>
      <c r="H74" s="12">
        <v>498.34657399158499</v>
      </c>
      <c r="I74" s="32" t="s">
        <v>333</v>
      </c>
      <c r="J74" s="12">
        <v>24.861238956451398</v>
      </c>
      <c r="K74" s="12">
        <v>498.34657399158499</v>
      </c>
      <c r="N74" s="11">
        <f t="shared" si="1"/>
        <v>19.698703050613389</v>
      </c>
      <c r="O74" s="12">
        <v>26.954078965869101</v>
      </c>
      <c r="Q74" s="12">
        <v>15.868548870086601</v>
      </c>
    </row>
    <row r="75" spans="1:17" x14ac:dyDescent="0.2">
      <c r="A75" s="12" t="s">
        <v>36</v>
      </c>
      <c r="B75" s="12" t="s">
        <v>110</v>
      </c>
      <c r="C75" s="12">
        <v>20</v>
      </c>
      <c r="D75" s="12">
        <v>4</v>
      </c>
      <c r="E75" s="12">
        <v>2</v>
      </c>
      <c r="F75" s="12">
        <v>5</v>
      </c>
      <c r="G75" s="12">
        <v>4.7701230049133301</v>
      </c>
      <c r="H75" s="12">
        <v>447.895801010284</v>
      </c>
      <c r="I75" s="32" t="s">
        <v>333</v>
      </c>
      <c r="J75" s="12">
        <v>16.947730064392001</v>
      </c>
      <c r="K75" s="12">
        <v>447.895801010284</v>
      </c>
      <c r="N75" s="11">
        <f t="shared" si="1"/>
        <v>12.177607059478671</v>
      </c>
      <c r="O75" s="12">
        <v>12.478825174560599</v>
      </c>
      <c r="Q75" s="12">
        <v>17.224040985107401</v>
      </c>
    </row>
    <row r="76" spans="1:17" x14ac:dyDescent="0.2">
      <c r="A76" s="12" t="s">
        <v>36</v>
      </c>
      <c r="B76" s="12" t="s">
        <v>111</v>
      </c>
      <c r="C76" s="12">
        <v>20</v>
      </c>
      <c r="D76" s="12">
        <v>4</v>
      </c>
      <c r="E76" s="12">
        <v>2</v>
      </c>
      <c r="F76" s="12">
        <v>5</v>
      </c>
      <c r="G76" s="12">
        <v>17.026361942291199</v>
      </c>
      <c r="H76" s="12">
        <v>481.69192412212698</v>
      </c>
      <c r="I76" s="32" t="s">
        <v>333</v>
      </c>
      <c r="J76" s="12">
        <v>28.696359872817901</v>
      </c>
      <c r="K76" s="12">
        <v>481.69192412212698</v>
      </c>
      <c r="N76" s="11">
        <f t="shared" si="1"/>
        <v>11.669997930526701</v>
      </c>
      <c r="O76" s="12">
        <v>24.563674449829101</v>
      </c>
      <c r="Q76" s="12">
        <v>15.951560974121</v>
      </c>
    </row>
    <row r="77" spans="1:17" x14ac:dyDescent="0.2">
      <c r="A77" s="12" t="s">
        <v>36</v>
      </c>
      <c r="B77" s="12" t="s">
        <v>112</v>
      </c>
      <c r="C77" s="12">
        <v>20</v>
      </c>
      <c r="D77" s="12">
        <v>4</v>
      </c>
      <c r="E77" s="12">
        <v>2</v>
      </c>
      <c r="F77" s="12">
        <v>5</v>
      </c>
      <c r="G77" s="12">
        <v>5.5345160961151096</v>
      </c>
      <c r="H77" s="12">
        <v>491.14512167105801</v>
      </c>
      <c r="I77" s="32" t="s">
        <v>333</v>
      </c>
      <c r="J77" s="12">
        <v>22.628764152526799</v>
      </c>
      <c r="K77" s="12">
        <v>491.14512167084899</v>
      </c>
      <c r="N77" s="11">
        <f t="shared" si="1"/>
        <v>17.09424805641169</v>
      </c>
      <c r="O77" s="12">
        <v>17.645314120530202</v>
      </c>
      <c r="Q77" s="12">
        <v>17.0294799804687</v>
      </c>
    </row>
    <row r="78" spans="1:17" x14ac:dyDescent="0.2">
      <c r="A78" s="12" t="s">
        <v>36</v>
      </c>
      <c r="B78" s="12" t="s">
        <v>113</v>
      </c>
      <c r="C78" s="12">
        <v>20</v>
      </c>
      <c r="D78" s="12">
        <v>4</v>
      </c>
      <c r="E78" s="12">
        <v>2</v>
      </c>
      <c r="F78" s="12">
        <v>5</v>
      </c>
      <c r="G78" s="12">
        <v>17.584141016006399</v>
      </c>
      <c r="H78" s="12">
        <v>519.49433790025</v>
      </c>
      <c r="I78" s="32" t="s">
        <v>333</v>
      </c>
      <c r="J78" s="12">
        <v>24.271733045577999</v>
      </c>
      <c r="K78" s="12">
        <v>519.49433790025</v>
      </c>
      <c r="N78" s="11">
        <f t="shared" si="1"/>
        <v>6.6875920295716007</v>
      </c>
      <c r="O78" s="12">
        <v>18.874717289225401</v>
      </c>
      <c r="Q78" s="12">
        <v>16.553794860839801</v>
      </c>
    </row>
    <row r="79" spans="1:17" x14ac:dyDescent="0.2">
      <c r="A79" s="12" t="s">
        <v>36</v>
      </c>
      <c r="B79" s="12" t="s">
        <v>114</v>
      </c>
      <c r="C79" s="12">
        <v>20</v>
      </c>
      <c r="D79" s="12">
        <v>4</v>
      </c>
      <c r="E79" s="12">
        <v>2</v>
      </c>
      <c r="F79" s="12">
        <v>6</v>
      </c>
      <c r="G79" s="12">
        <v>8.6838829517364502</v>
      </c>
      <c r="H79" s="12">
        <v>528.14725754891504</v>
      </c>
      <c r="I79" s="32" t="s">
        <v>333</v>
      </c>
      <c r="J79" s="12">
        <v>21.5423309803009</v>
      </c>
      <c r="K79" s="12">
        <v>528.14725754891504</v>
      </c>
      <c r="N79" s="11">
        <f t="shared" si="1"/>
        <v>12.85844802856445</v>
      </c>
      <c r="O79" s="12">
        <v>15.9880320728972</v>
      </c>
      <c r="Q79" s="12">
        <v>15.791043043136501</v>
      </c>
    </row>
    <row r="80" spans="1:17" x14ac:dyDescent="0.2">
      <c r="A80" s="12" t="s">
        <v>36</v>
      </c>
      <c r="B80" s="12" t="s">
        <v>115</v>
      </c>
      <c r="C80" s="12">
        <v>20</v>
      </c>
      <c r="D80" s="12">
        <v>4</v>
      </c>
      <c r="E80" s="12">
        <v>2</v>
      </c>
      <c r="F80" s="12">
        <v>5</v>
      </c>
      <c r="G80" s="12">
        <v>9.7597839832305908</v>
      </c>
      <c r="H80" s="12">
        <v>437.49402617328701</v>
      </c>
      <c r="I80" s="32" t="s">
        <v>333</v>
      </c>
      <c r="J80" s="12">
        <v>24.088366985320999</v>
      </c>
      <c r="K80" s="12">
        <v>437.85290430905098</v>
      </c>
      <c r="N80" s="11">
        <f t="shared" si="1"/>
        <v>14.328583002090408</v>
      </c>
      <c r="O80" s="12">
        <v>17.983639183687298</v>
      </c>
      <c r="Q80" s="12">
        <v>19.106089830398499</v>
      </c>
    </row>
    <row r="81" spans="1:19" x14ac:dyDescent="0.2">
      <c r="A81" s="12" t="s">
        <v>36</v>
      </c>
      <c r="B81" s="12" t="s">
        <v>117</v>
      </c>
      <c r="C81" s="12">
        <v>20</v>
      </c>
      <c r="D81" s="12">
        <v>4</v>
      </c>
      <c r="E81" s="12">
        <v>2</v>
      </c>
      <c r="F81" s="12">
        <v>5</v>
      </c>
      <c r="G81" s="12">
        <v>124.786236047744</v>
      </c>
      <c r="H81" s="12">
        <v>459.66418167927799</v>
      </c>
      <c r="I81" s="32" t="s">
        <v>333</v>
      </c>
      <c r="J81" s="12">
        <v>82.673578977584796</v>
      </c>
      <c r="K81" s="12">
        <v>459.664181679232</v>
      </c>
      <c r="N81" s="11">
        <f t="shared" si="1"/>
        <v>-42.112657070159202</v>
      </c>
      <c r="O81" s="12">
        <v>64.065217514276199</v>
      </c>
      <c r="Q81" s="12">
        <v>16.508435010909999</v>
      </c>
    </row>
    <row r="82" spans="1:19" x14ac:dyDescent="0.2">
      <c r="A82" s="12" t="s">
        <v>36</v>
      </c>
      <c r="B82" s="12" t="s">
        <v>118</v>
      </c>
      <c r="C82" s="12">
        <v>20</v>
      </c>
      <c r="D82" s="12">
        <v>4</v>
      </c>
      <c r="E82" s="12">
        <v>2</v>
      </c>
      <c r="F82" s="12">
        <v>5</v>
      </c>
      <c r="G82" s="12">
        <v>12.563793182373001</v>
      </c>
      <c r="H82" s="12">
        <v>477.82494525828298</v>
      </c>
      <c r="I82" s="32" t="s">
        <v>333</v>
      </c>
      <c r="J82" s="12">
        <v>29.258198976516699</v>
      </c>
      <c r="K82" s="12">
        <v>477.82494525828298</v>
      </c>
      <c r="N82" s="11">
        <f t="shared" si="1"/>
        <v>16.694405794143698</v>
      </c>
      <c r="O82" s="12">
        <v>28.796471985835499</v>
      </c>
      <c r="Q82" s="12">
        <v>16.5153839588165</v>
      </c>
    </row>
    <row r="83" spans="1:19" x14ac:dyDescent="0.2">
      <c r="A83" s="12" t="s">
        <v>36</v>
      </c>
      <c r="B83" s="12" t="s">
        <v>119</v>
      </c>
      <c r="C83" s="12">
        <v>20</v>
      </c>
      <c r="D83" s="12">
        <v>4</v>
      </c>
      <c r="E83" s="12">
        <v>2</v>
      </c>
      <c r="F83" s="12">
        <v>5</v>
      </c>
      <c r="G83" s="12">
        <v>12.1183550357818</v>
      </c>
      <c r="H83" s="12">
        <v>510.70258009883202</v>
      </c>
      <c r="I83" s="32" t="s">
        <v>333</v>
      </c>
      <c r="J83" s="12">
        <v>17.4865930080413</v>
      </c>
      <c r="K83" s="12">
        <v>510.70258009883202</v>
      </c>
      <c r="N83" s="11">
        <f t="shared" si="1"/>
        <v>5.3682379722595002</v>
      </c>
      <c r="O83" s="12">
        <v>11.8627904739591</v>
      </c>
      <c r="Q83" s="12">
        <v>17.6127529144287</v>
      </c>
    </row>
    <row r="84" spans="1:19" x14ac:dyDescent="0.2">
      <c r="A84" s="12" t="s">
        <v>36</v>
      </c>
      <c r="B84" s="12" t="s">
        <v>120</v>
      </c>
      <c r="C84" s="12">
        <v>20</v>
      </c>
      <c r="D84" s="12">
        <v>4</v>
      </c>
      <c r="E84" s="12">
        <v>2</v>
      </c>
      <c r="F84" s="12">
        <v>5</v>
      </c>
      <c r="G84" s="12">
        <v>9.0012280941009504</v>
      </c>
      <c r="H84" s="12">
        <v>458.66628567007803</v>
      </c>
      <c r="I84" s="32" t="s">
        <v>333</v>
      </c>
      <c r="J84" s="12">
        <v>25.3267610073089</v>
      </c>
      <c r="K84" s="12">
        <v>458.66628567007803</v>
      </c>
      <c r="N84" s="11">
        <f t="shared" si="1"/>
        <v>16.325532913207951</v>
      </c>
      <c r="O84" s="12">
        <v>20.3963323166716</v>
      </c>
      <c r="Q84" s="12">
        <v>18.235934972763001</v>
      </c>
    </row>
    <row r="85" spans="1:19" x14ac:dyDescent="0.2">
      <c r="A85" s="12" t="s">
        <v>36</v>
      </c>
      <c r="B85" s="12" t="s">
        <v>121</v>
      </c>
      <c r="C85" s="12">
        <v>20</v>
      </c>
      <c r="D85" s="12">
        <v>4</v>
      </c>
      <c r="E85" s="12">
        <v>2</v>
      </c>
      <c r="F85" s="12">
        <v>5</v>
      </c>
      <c r="G85" s="12">
        <v>0.99423003196716297</v>
      </c>
      <c r="H85" s="12">
        <v>448.79993161339701</v>
      </c>
      <c r="I85" s="32" t="s">
        <v>333</v>
      </c>
      <c r="J85" s="12">
        <v>21.640755891799898</v>
      </c>
      <c r="K85" s="12">
        <v>448.79993161339701</v>
      </c>
      <c r="N85" s="11">
        <f t="shared" si="1"/>
        <v>20.646525859832735</v>
      </c>
      <c r="O85" s="12">
        <v>16.833746853875699</v>
      </c>
      <c r="Q85" s="12">
        <v>16.968442916870099</v>
      </c>
    </row>
    <row r="86" spans="1:19" x14ac:dyDescent="0.2">
      <c r="A86" s="12" t="s">
        <v>36</v>
      </c>
      <c r="B86" s="12" t="s">
        <v>122</v>
      </c>
      <c r="C86" s="12">
        <v>20</v>
      </c>
      <c r="D86" s="12">
        <v>4</v>
      </c>
      <c r="E86" s="12">
        <v>2</v>
      </c>
      <c r="F86" s="12">
        <v>5</v>
      </c>
      <c r="G86" s="12">
        <v>14.525335073471</v>
      </c>
      <c r="H86" s="12">
        <v>462.93316146438701</v>
      </c>
      <c r="I86" s="32" t="s">
        <v>333</v>
      </c>
      <c r="J86" s="12">
        <v>34.359479904174798</v>
      </c>
      <c r="K86" s="12">
        <v>462.93316146428998</v>
      </c>
      <c r="N86" s="11">
        <f t="shared" si="1"/>
        <v>19.834144830703799</v>
      </c>
      <c r="O86" s="12">
        <v>32.362553062529699</v>
      </c>
      <c r="Q86" s="12">
        <v>16.140861988067599</v>
      </c>
    </row>
    <row r="87" spans="1:19" x14ac:dyDescent="0.2">
      <c r="A87" s="12" t="s">
        <v>36</v>
      </c>
      <c r="B87" s="12" t="s">
        <v>123</v>
      </c>
      <c r="C87" s="12">
        <v>20</v>
      </c>
      <c r="D87" s="12">
        <v>4</v>
      </c>
      <c r="E87" s="12">
        <v>2</v>
      </c>
      <c r="F87" s="12">
        <v>5</v>
      </c>
      <c r="G87" s="12">
        <v>2.9992480278015101</v>
      </c>
      <c r="H87" s="12">
        <v>484.69557365076997</v>
      </c>
      <c r="I87" s="32" t="s">
        <v>333</v>
      </c>
      <c r="J87" s="12">
        <v>22.632229089736899</v>
      </c>
      <c r="K87" s="12">
        <v>484.69557365076997</v>
      </c>
      <c r="N87" s="11">
        <f t="shared" si="1"/>
        <v>19.632981061935389</v>
      </c>
      <c r="O87" s="12">
        <v>16.934470350805999</v>
      </c>
      <c r="Q87" s="12">
        <v>16.099220991134601</v>
      </c>
    </row>
    <row r="88" spans="1:19" x14ac:dyDescent="0.2">
      <c r="A88" s="12" t="s">
        <v>36</v>
      </c>
      <c r="B88" s="12" t="s">
        <v>124</v>
      </c>
      <c r="C88" s="12">
        <v>20</v>
      </c>
      <c r="D88" s="12">
        <v>4</v>
      </c>
      <c r="E88" s="12">
        <v>2</v>
      </c>
      <c r="F88" s="12">
        <v>5</v>
      </c>
      <c r="G88" s="12">
        <v>1.0923647880554199</v>
      </c>
      <c r="H88" s="12">
        <v>513.19132579779796</v>
      </c>
      <c r="I88" s="32" t="s">
        <v>333</v>
      </c>
      <c r="J88" s="12">
        <v>16.8934178352355</v>
      </c>
      <c r="K88" s="12">
        <v>513.19132579779796</v>
      </c>
      <c r="N88" s="11">
        <f t="shared" si="1"/>
        <v>15.80105304718008</v>
      </c>
      <c r="O88" s="12">
        <v>11.574185869472799</v>
      </c>
      <c r="Q88" s="12">
        <v>16.682585954666099</v>
      </c>
    </row>
    <row r="89" spans="1:19" x14ac:dyDescent="0.2">
      <c r="A89" s="12" t="s">
        <v>36</v>
      </c>
      <c r="B89" s="12" t="s">
        <v>125</v>
      </c>
      <c r="C89" s="12">
        <v>20</v>
      </c>
      <c r="D89" s="12">
        <v>4</v>
      </c>
      <c r="E89" s="12">
        <v>2</v>
      </c>
      <c r="F89" s="12">
        <v>5</v>
      </c>
      <c r="G89" s="12">
        <v>4.3412189483642498</v>
      </c>
      <c r="H89" s="12">
        <v>477.38884622144298</v>
      </c>
      <c r="I89" s="32" t="s">
        <v>333</v>
      </c>
      <c r="J89" s="12">
        <v>22.448104858398398</v>
      </c>
      <c r="K89" s="12">
        <v>477.38884622144298</v>
      </c>
      <c r="N89" s="11">
        <f t="shared" si="1"/>
        <v>18.106885910034148</v>
      </c>
      <c r="O89" s="12">
        <v>16.6014109633544</v>
      </c>
      <c r="Q89" s="12">
        <v>16.359610080718902</v>
      </c>
    </row>
    <row r="90" spans="1:19" s="33" customFormat="1" x14ac:dyDescent="0.2">
      <c r="G90" s="33">
        <f>AVERAGE(G70:G89)</f>
        <v>13.114565348625129</v>
      </c>
      <c r="I90" s="34"/>
      <c r="J90" s="33">
        <f>AVERAGE(J70:J89)</f>
        <v>27.21928632259365</v>
      </c>
      <c r="L90" s="36"/>
      <c r="N90" s="33">
        <f>COUNTIF(N70:N89,"&lt;0")</f>
        <v>1</v>
      </c>
      <c r="O90" s="33">
        <f>AVERAGE(O70:O89)</f>
        <v>22.330682047044597</v>
      </c>
      <c r="Q90" s="33">
        <f>AVERAGE(Q70:Q89)</f>
        <v>16.813657879829357</v>
      </c>
    </row>
    <row r="92" spans="1:19" x14ac:dyDescent="0.2">
      <c r="A92" s="11" t="s">
        <v>36</v>
      </c>
      <c r="B92" s="11" t="s">
        <v>127</v>
      </c>
      <c r="C92" s="11">
        <v>30</v>
      </c>
      <c r="D92" s="11">
        <v>4</v>
      </c>
      <c r="E92" s="11">
        <v>2</v>
      </c>
      <c r="F92" s="11">
        <v>7</v>
      </c>
      <c r="G92" s="11">
        <v>26.470755100250202</v>
      </c>
      <c r="H92" s="11">
        <v>614.85426275939096</v>
      </c>
      <c r="I92" s="31" t="s">
        <v>333</v>
      </c>
      <c r="J92" s="11">
        <v>32.359572887420597</v>
      </c>
      <c r="K92" s="11">
        <v>614.85426275938801</v>
      </c>
      <c r="N92" s="11">
        <f>J92-G92</f>
        <v>5.8888177871703959</v>
      </c>
      <c r="O92" s="11"/>
      <c r="Q92" s="11">
        <v>17.3645420074462</v>
      </c>
      <c r="R92" s="11"/>
      <c r="S92" s="11">
        <v>17.333822965621899</v>
      </c>
    </row>
    <row r="93" spans="1:19" x14ac:dyDescent="0.2">
      <c r="A93" s="12" t="s">
        <v>36</v>
      </c>
      <c r="B93" s="12" t="s">
        <v>128</v>
      </c>
      <c r="C93" s="12">
        <v>30</v>
      </c>
      <c r="D93" s="12">
        <v>7</v>
      </c>
      <c r="E93" s="12">
        <v>4</v>
      </c>
      <c r="F93" s="12">
        <v>6</v>
      </c>
      <c r="G93" s="12">
        <v>32.213566064834502</v>
      </c>
      <c r="H93" s="12">
        <v>559.29607437413404</v>
      </c>
      <c r="I93" s="32" t="s">
        <v>333</v>
      </c>
      <c r="J93" s="12">
        <v>58.199722051620398</v>
      </c>
      <c r="K93" s="12">
        <v>559.29607437413495</v>
      </c>
      <c r="N93" s="11">
        <f t="shared" ref="N93:N151" si="2">J93-G93</f>
        <v>25.986155986785896</v>
      </c>
      <c r="O93" s="12"/>
      <c r="Q93" s="12">
        <v>33.8460531234741</v>
      </c>
      <c r="R93" s="12"/>
      <c r="S93" s="12">
        <v>20.806114912032999</v>
      </c>
    </row>
    <row r="94" spans="1:19" x14ac:dyDescent="0.2">
      <c r="A94" s="12" t="s">
        <v>36</v>
      </c>
      <c r="B94" s="12" t="s">
        <v>130</v>
      </c>
      <c r="C94" s="12">
        <v>30</v>
      </c>
      <c r="D94" s="12">
        <v>10</v>
      </c>
      <c r="E94" s="12">
        <v>5</v>
      </c>
      <c r="F94" s="12">
        <v>6</v>
      </c>
      <c r="G94" s="12">
        <v>233.681471824646</v>
      </c>
      <c r="H94" s="12">
        <v>603.52531393768095</v>
      </c>
      <c r="I94" s="32" t="s">
        <v>333</v>
      </c>
      <c r="J94" s="12">
        <v>1627.69147515296</v>
      </c>
      <c r="K94" s="12">
        <v>603.52531393768004</v>
      </c>
      <c r="N94" s="11">
        <f t="shared" si="2"/>
        <v>1394.010003328314</v>
      </c>
      <c r="O94" s="12"/>
      <c r="Q94" s="12">
        <v>247.71324586868201</v>
      </c>
      <c r="R94" s="12"/>
      <c r="S94" s="12">
        <v>131.388267040252</v>
      </c>
    </row>
    <row r="95" spans="1:19" x14ac:dyDescent="0.2">
      <c r="A95" s="12" t="s">
        <v>36</v>
      </c>
      <c r="B95" s="12" t="s">
        <v>132</v>
      </c>
      <c r="C95" s="12">
        <v>30</v>
      </c>
      <c r="D95" s="12">
        <v>4</v>
      </c>
      <c r="E95" s="12">
        <v>2</v>
      </c>
      <c r="F95" s="12">
        <v>8</v>
      </c>
      <c r="G95" s="12">
        <v>30.074084043502801</v>
      </c>
      <c r="H95" s="12">
        <v>604.43098366082904</v>
      </c>
      <c r="I95" s="32" t="s">
        <v>333</v>
      </c>
      <c r="J95" s="12">
        <v>37.8960890769958</v>
      </c>
      <c r="K95" s="12">
        <v>604.43098366082904</v>
      </c>
      <c r="N95" s="11">
        <f t="shared" si="2"/>
        <v>7.8220050334929994</v>
      </c>
      <c r="O95" s="12"/>
      <c r="Q95" s="12">
        <v>20.060577869415201</v>
      </c>
      <c r="R95" s="12"/>
      <c r="S95" s="12">
        <v>17.052358865737901</v>
      </c>
    </row>
    <row r="96" spans="1:19" x14ac:dyDescent="0.2">
      <c r="A96" s="12" t="s">
        <v>36</v>
      </c>
      <c r="B96" s="12" t="s">
        <v>133</v>
      </c>
      <c r="C96" s="12">
        <v>30</v>
      </c>
      <c r="D96" s="12">
        <v>7</v>
      </c>
      <c r="E96" s="12">
        <v>4</v>
      </c>
      <c r="F96" s="12">
        <v>6</v>
      </c>
      <c r="G96" s="12">
        <v>82.743377923965397</v>
      </c>
      <c r="H96" s="12">
        <v>583.74331877776797</v>
      </c>
      <c r="I96" s="32" t="s">
        <v>333</v>
      </c>
      <c r="J96" s="12">
        <v>53.282725095748901</v>
      </c>
      <c r="K96" s="12">
        <v>583.74331877776797</v>
      </c>
      <c r="N96" s="11">
        <f t="shared" si="2"/>
        <v>-29.460652828216496</v>
      </c>
      <c r="O96" s="12"/>
      <c r="Q96" s="12">
        <v>36.564329147338803</v>
      </c>
      <c r="R96" s="12"/>
      <c r="S96" s="12">
        <v>21.771593093871999</v>
      </c>
    </row>
    <row r="97" spans="1:19" x14ac:dyDescent="0.2">
      <c r="A97" s="12" t="s">
        <v>36</v>
      </c>
      <c r="B97" s="12" t="s">
        <v>135</v>
      </c>
      <c r="C97" s="12">
        <v>30</v>
      </c>
      <c r="D97" s="12">
        <v>9</v>
      </c>
      <c r="E97" s="12">
        <v>5</v>
      </c>
      <c r="F97" s="12">
        <v>6</v>
      </c>
      <c r="G97" s="12">
        <v>176.36201810836701</v>
      </c>
      <c r="H97" s="12">
        <v>617.28649184489302</v>
      </c>
      <c r="I97" s="32" t="s">
        <v>333</v>
      </c>
      <c r="J97" s="12">
        <v>189.68401598930299</v>
      </c>
      <c r="K97" s="12">
        <v>617.28649184489302</v>
      </c>
      <c r="N97" s="11">
        <f t="shared" si="2"/>
        <v>13.321997880935982</v>
      </c>
      <c r="O97" s="12"/>
      <c r="Q97" s="12">
        <v>159.80771708488399</v>
      </c>
      <c r="R97" s="12"/>
      <c r="S97" s="12">
        <v>81.436390876770005</v>
      </c>
    </row>
    <row r="98" spans="1:19" x14ac:dyDescent="0.2">
      <c r="A98" s="12" t="s">
        <v>36</v>
      </c>
      <c r="B98" s="12" t="s">
        <v>136</v>
      </c>
      <c r="C98" s="12">
        <v>30</v>
      </c>
      <c r="D98" s="12">
        <v>4</v>
      </c>
      <c r="E98" s="12">
        <v>2</v>
      </c>
      <c r="F98" s="12">
        <v>8</v>
      </c>
      <c r="G98" s="12">
        <v>34.1481161117553</v>
      </c>
      <c r="H98" s="12">
        <v>625.33721688312903</v>
      </c>
      <c r="I98" s="32" t="s">
        <v>333</v>
      </c>
      <c r="J98" s="12">
        <v>28.6108109951019</v>
      </c>
      <c r="K98" s="12">
        <v>625.33721688231697</v>
      </c>
      <c r="N98" s="11">
        <f t="shared" si="2"/>
        <v>-5.5373051166533998</v>
      </c>
      <c r="O98" s="12"/>
      <c r="Q98" s="12">
        <v>21.901000022888098</v>
      </c>
      <c r="R98" s="12"/>
      <c r="S98" s="12">
        <v>18.384491205215401</v>
      </c>
    </row>
    <row r="99" spans="1:19" x14ac:dyDescent="0.2">
      <c r="A99" s="12" t="s">
        <v>36</v>
      </c>
      <c r="B99" s="12" t="s">
        <v>138</v>
      </c>
      <c r="C99" s="12">
        <v>30</v>
      </c>
      <c r="D99" s="12">
        <v>7</v>
      </c>
      <c r="E99" s="12">
        <v>4</v>
      </c>
      <c r="F99" s="12">
        <v>6</v>
      </c>
      <c r="G99" s="12">
        <v>45.649062156677203</v>
      </c>
      <c r="H99" s="12">
        <v>572.12982116974501</v>
      </c>
      <c r="I99" s="32" t="s">
        <v>333</v>
      </c>
      <c r="J99" s="12">
        <v>403.95893502235401</v>
      </c>
      <c r="K99" s="12">
        <v>572.12982116974501</v>
      </c>
      <c r="N99" s="11">
        <f t="shared" si="2"/>
        <v>358.30987286567682</v>
      </c>
      <c r="O99" s="12"/>
      <c r="Q99" s="12">
        <v>46.4553351402282</v>
      </c>
      <c r="R99" s="12"/>
      <c r="S99" s="12">
        <v>21.050959825515701</v>
      </c>
    </row>
    <row r="100" spans="1:19" x14ac:dyDescent="0.2">
      <c r="A100" s="12" t="s">
        <v>36</v>
      </c>
      <c r="B100" s="12" t="s">
        <v>139</v>
      </c>
      <c r="C100" s="12">
        <v>30</v>
      </c>
      <c r="D100" s="12">
        <v>9</v>
      </c>
      <c r="E100" s="12">
        <v>5</v>
      </c>
      <c r="F100" s="12">
        <v>6</v>
      </c>
      <c r="G100" s="12">
        <v>69.527225971221895</v>
      </c>
      <c r="H100" s="12">
        <v>573.74043763102497</v>
      </c>
      <c r="I100" s="32" t="s">
        <v>333</v>
      </c>
      <c r="J100" s="12">
        <v>172.72918105125399</v>
      </c>
      <c r="K100" s="12">
        <v>573.74043763102497</v>
      </c>
      <c r="N100" s="11">
        <f t="shared" si="2"/>
        <v>103.20195508003209</v>
      </c>
      <c r="O100" s="12"/>
      <c r="Q100" s="12">
        <v>147.121730089187</v>
      </c>
      <c r="R100" s="12"/>
      <c r="S100" s="12">
        <v>86.339218139648395</v>
      </c>
    </row>
    <row r="101" spans="1:19" x14ac:dyDescent="0.2">
      <c r="A101" s="12" t="s">
        <v>36</v>
      </c>
      <c r="B101" s="12" t="s">
        <v>140</v>
      </c>
      <c r="C101" s="12">
        <v>30</v>
      </c>
      <c r="D101" s="12">
        <v>4</v>
      </c>
      <c r="E101" s="12">
        <v>2</v>
      </c>
      <c r="F101" s="12">
        <v>7</v>
      </c>
      <c r="G101" s="12">
        <v>10.925665140151899</v>
      </c>
      <c r="H101" s="12">
        <v>580.59611085589597</v>
      </c>
      <c r="I101" s="32" t="s">
        <v>333</v>
      </c>
      <c r="J101" s="12">
        <v>24.272441864013601</v>
      </c>
      <c r="K101" s="12">
        <v>580.59611085589597</v>
      </c>
      <c r="N101" s="11">
        <f t="shared" si="2"/>
        <v>13.346776723861701</v>
      </c>
      <c r="O101" s="12"/>
      <c r="Q101" s="12">
        <v>19.547082901000898</v>
      </c>
      <c r="R101" s="12"/>
      <c r="S101" s="12">
        <v>17.605809926986598</v>
      </c>
    </row>
    <row r="102" spans="1:19" x14ac:dyDescent="0.2">
      <c r="A102" s="12" t="s">
        <v>36</v>
      </c>
      <c r="B102" s="12" t="s">
        <v>141</v>
      </c>
      <c r="C102" s="12">
        <v>30</v>
      </c>
      <c r="D102" s="12">
        <v>7</v>
      </c>
      <c r="E102" s="12">
        <v>4</v>
      </c>
      <c r="F102" s="12">
        <v>6</v>
      </c>
      <c r="G102" s="12">
        <v>164.13809514045701</v>
      </c>
      <c r="H102" s="12">
        <v>574.15036143264604</v>
      </c>
      <c r="I102" s="32" t="s">
        <v>333</v>
      </c>
      <c r="J102" s="12">
        <v>853.88214898109402</v>
      </c>
      <c r="K102" s="12">
        <v>574.15036143264695</v>
      </c>
      <c r="N102" s="11">
        <f t="shared" si="2"/>
        <v>689.74405384063698</v>
      </c>
      <c r="O102" s="12"/>
      <c r="Q102" s="12">
        <v>46.519371032714801</v>
      </c>
      <c r="R102" s="12"/>
      <c r="S102" s="12">
        <v>19.5411839485168</v>
      </c>
    </row>
    <row r="103" spans="1:19" x14ac:dyDescent="0.2">
      <c r="A103" s="12" t="s">
        <v>36</v>
      </c>
      <c r="B103" s="12" t="s">
        <v>142</v>
      </c>
      <c r="C103" s="12">
        <v>30</v>
      </c>
      <c r="D103" s="12">
        <v>9</v>
      </c>
      <c r="E103" s="12">
        <v>5</v>
      </c>
      <c r="F103" s="12">
        <v>6</v>
      </c>
      <c r="G103" s="12">
        <v>385.87586307525601</v>
      </c>
      <c r="H103" s="12">
        <v>588.32410208267299</v>
      </c>
      <c r="I103" s="32" t="s">
        <v>333</v>
      </c>
      <c r="J103" s="12">
        <v>319.94518399238501</v>
      </c>
      <c r="K103" s="12">
        <v>588.32410208267299</v>
      </c>
      <c r="N103" s="11">
        <f t="shared" si="2"/>
        <v>-65.930679082870995</v>
      </c>
      <c r="O103" s="12"/>
      <c r="Q103" s="12">
        <v>173.96260786056499</v>
      </c>
      <c r="R103" s="12"/>
      <c r="S103" s="12">
        <v>77.236214876174898</v>
      </c>
    </row>
    <row r="104" spans="1:19" x14ac:dyDescent="0.2">
      <c r="A104" s="12" t="s">
        <v>36</v>
      </c>
      <c r="B104" s="12" t="s">
        <v>143</v>
      </c>
      <c r="C104" s="12">
        <v>30</v>
      </c>
      <c r="D104" s="12">
        <v>4</v>
      </c>
      <c r="E104" s="12">
        <v>2</v>
      </c>
      <c r="F104" s="12">
        <v>7</v>
      </c>
      <c r="G104" s="12">
        <v>18.9346089363098</v>
      </c>
      <c r="H104" s="12">
        <v>587.46557941057199</v>
      </c>
      <c r="I104" s="32" t="s">
        <v>333</v>
      </c>
      <c r="J104" s="12">
        <v>17.148665189742999</v>
      </c>
      <c r="K104" s="12">
        <v>589.01302187787303</v>
      </c>
      <c r="N104" s="11">
        <f t="shared" si="2"/>
        <v>-1.7859437465668009</v>
      </c>
      <c r="O104" s="12"/>
      <c r="Q104" s="12">
        <v>18.992449998855498</v>
      </c>
      <c r="R104" s="12"/>
      <c r="S104" s="12">
        <v>18.1431548595428</v>
      </c>
    </row>
    <row r="105" spans="1:19" x14ac:dyDescent="0.2">
      <c r="A105" s="12" t="s">
        <v>36</v>
      </c>
      <c r="B105" s="12" t="s">
        <v>144</v>
      </c>
      <c r="C105" s="12">
        <v>30</v>
      </c>
      <c r="D105" s="12">
        <v>7</v>
      </c>
      <c r="E105" s="12">
        <v>4</v>
      </c>
      <c r="F105" s="12">
        <v>6</v>
      </c>
      <c r="G105" s="12">
        <v>31.1303341388702</v>
      </c>
      <c r="H105" s="12">
        <v>480.45524996468998</v>
      </c>
      <c r="I105" s="32" t="s">
        <v>333</v>
      </c>
      <c r="J105" s="12">
        <v>170.28826403617799</v>
      </c>
      <c r="K105" s="12">
        <v>480.45524996468998</v>
      </c>
      <c r="N105" s="11">
        <f t="shared" si="2"/>
        <v>139.15792989730778</v>
      </c>
      <c r="O105" s="12"/>
      <c r="Q105" s="12">
        <v>65.694436073303194</v>
      </c>
      <c r="R105" s="12"/>
      <c r="S105" s="12">
        <v>19.009881973266602</v>
      </c>
    </row>
    <row r="106" spans="1:19" x14ac:dyDescent="0.2">
      <c r="A106" s="12" t="s">
        <v>36</v>
      </c>
      <c r="B106" s="12" t="s">
        <v>145</v>
      </c>
      <c r="C106" s="12">
        <v>30</v>
      </c>
      <c r="D106" s="12">
        <v>9</v>
      </c>
      <c r="E106" s="12">
        <v>5</v>
      </c>
      <c r="F106" s="12">
        <v>6</v>
      </c>
      <c r="G106" s="12">
        <v>64.749800920486393</v>
      </c>
      <c r="H106" s="12">
        <v>531.18415941058595</v>
      </c>
      <c r="I106" s="32" t="s">
        <v>333</v>
      </c>
      <c r="J106" s="12">
        <v>220.37943696975699</v>
      </c>
      <c r="K106" s="12">
        <v>531.18415941058595</v>
      </c>
      <c r="N106" s="11">
        <f t="shared" si="2"/>
        <v>155.6296360492706</v>
      </c>
      <c r="O106" s="12"/>
      <c r="Q106" s="12">
        <v>188.00901889801</v>
      </c>
      <c r="R106" s="12"/>
      <c r="S106" s="12">
        <v>81.119349002838106</v>
      </c>
    </row>
    <row r="107" spans="1:19" x14ac:dyDescent="0.2">
      <c r="A107" s="12" t="s">
        <v>36</v>
      </c>
      <c r="B107" s="12" t="s">
        <v>147</v>
      </c>
      <c r="C107" s="12">
        <v>30</v>
      </c>
      <c r="D107" s="12">
        <v>4</v>
      </c>
      <c r="E107" s="12">
        <v>2</v>
      </c>
      <c r="F107" s="12">
        <v>7</v>
      </c>
      <c r="G107" s="12">
        <v>545.62379002571095</v>
      </c>
      <c r="H107" s="12">
        <v>610.60365361345396</v>
      </c>
      <c r="I107" s="32" t="s">
        <v>333</v>
      </c>
      <c r="J107" s="12"/>
      <c r="K107" s="12"/>
      <c r="N107" s="11">
        <f>J107-G107</f>
        <v>-545.62379002571095</v>
      </c>
      <c r="O107" s="12"/>
      <c r="Q107" s="12">
        <v>20.4912910461425</v>
      </c>
      <c r="R107" s="12"/>
      <c r="S107" s="12">
        <v>17.344905138015701</v>
      </c>
    </row>
    <row r="108" spans="1:19" x14ac:dyDescent="0.2">
      <c r="A108" s="12" t="s">
        <v>36</v>
      </c>
      <c r="B108" s="12" t="s">
        <v>148</v>
      </c>
      <c r="C108" s="12">
        <v>30</v>
      </c>
      <c r="D108" s="12">
        <v>7</v>
      </c>
      <c r="E108" s="12">
        <v>4</v>
      </c>
      <c r="F108" s="12">
        <v>6</v>
      </c>
      <c r="G108" s="12">
        <v>109.470165967941</v>
      </c>
      <c r="H108" s="12">
        <v>572.91542641618901</v>
      </c>
      <c r="I108" s="32" t="s">
        <v>333</v>
      </c>
      <c r="J108" s="12">
        <v>49.299147129058802</v>
      </c>
      <c r="K108" s="12">
        <v>572.91542641618901</v>
      </c>
      <c r="N108" s="11">
        <f>J108-G108</f>
        <v>-60.171018838882198</v>
      </c>
      <c r="O108" s="12"/>
      <c r="Q108" s="12">
        <v>40.736794948577803</v>
      </c>
      <c r="R108" s="12"/>
      <c r="S108" s="12">
        <v>19.990156173706001</v>
      </c>
    </row>
    <row r="109" spans="1:19" x14ac:dyDescent="0.2">
      <c r="A109" s="12" t="s">
        <v>36</v>
      </c>
      <c r="B109" s="12" t="s">
        <v>149</v>
      </c>
      <c r="C109" s="12">
        <v>30</v>
      </c>
      <c r="D109" s="12">
        <v>9</v>
      </c>
      <c r="E109" s="12">
        <v>5</v>
      </c>
      <c r="F109" s="12">
        <v>6</v>
      </c>
      <c r="G109" s="12">
        <v>1283.81198906898</v>
      </c>
      <c r="H109" s="12">
        <v>638.62151885975402</v>
      </c>
      <c r="I109" s="32" t="s">
        <v>333</v>
      </c>
      <c r="J109" s="12">
        <v>209.53662395477201</v>
      </c>
      <c r="K109" s="12">
        <v>638.62151885975402</v>
      </c>
      <c r="N109" s="11">
        <f t="shared" si="2"/>
        <v>-1074.2753651142079</v>
      </c>
      <c r="O109" s="12"/>
      <c r="Q109" s="12">
        <v>187.49919080734199</v>
      </c>
      <c r="R109" s="12"/>
      <c r="S109" s="12">
        <v>77.673464059829698</v>
      </c>
    </row>
    <row r="110" spans="1:19" x14ac:dyDescent="0.2">
      <c r="A110" s="12" t="s">
        <v>36</v>
      </c>
      <c r="B110" s="12" t="s">
        <v>151</v>
      </c>
      <c r="C110" s="12">
        <v>30</v>
      </c>
      <c r="D110" s="12">
        <v>4</v>
      </c>
      <c r="E110" s="12">
        <v>2</v>
      </c>
      <c r="F110" s="12">
        <v>7</v>
      </c>
      <c r="G110" s="12">
        <v>111.18786096572801</v>
      </c>
      <c r="H110" s="12">
        <v>593.39961695471504</v>
      </c>
      <c r="I110" s="32" t="s">
        <v>333</v>
      </c>
      <c r="J110" s="12">
        <v>29.908885955810501</v>
      </c>
      <c r="K110" s="12">
        <v>593.39961695471504</v>
      </c>
      <c r="N110" s="11">
        <f t="shared" si="2"/>
        <v>-81.278975009917502</v>
      </c>
      <c r="O110" s="12"/>
      <c r="Q110" s="12">
        <v>19.813473939895601</v>
      </c>
      <c r="R110" s="12"/>
      <c r="S110" s="12">
        <v>17.263450860977098</v>
      </c>
    </row>
    <row r="111" spans="1:19" x14ac:dyDescent="0.2">
      <c r="A111" s="12" t="s">
        <v>36</v>
      </c>
      <c r="B111" s="12" t="s">
        <v>152</v>
      </c>
      <c r="C111" s="12">
        <v>30</v>
      </c>
      <c r="D111" s="12">
        <v>7</v>
      </c>
      <c r="E111" s="12">
        <v>4</v>
      </c>
      <c r="F111" s="12">
        <v>6</v>
      </c>
      <c r="G111" s="12">
        <v>341.91530895233097</v>
      </c>
      <c r="H111" s="12">
        <v>589.97292258920004</v>
      </c>
      <c r="I111" s="32" t="s">
        <v>333</v>
      </c>
      <c r="J111" s="12">
        <v>85.225473880767794</v>
      </c>
      <c r="K111" s="12">
        <v>589.97292258920004</v>
      </c>
      <c r="N111" s="11">
        <f t="shared" si="2"/>
        <v>-256.68983507156315</v>
      </c>
      <c r="O111" s="12"/>
      <c r="Q111" s="12">
        <v>53.431595087051299</v>
      </c>
      <c r="R111" s="12"/>
      <c r="S111" s="12">
        <v>19.399126052856399</v>
      </c>
    </row>
    <row r="112" spans="1:19" x14ac:dyDescent="0.2">
      <c r="A112" s="12" t="s">
        <v>36</v>
      </c>
      <c r="B112" s="12" t="s">
        <v>153</v>
      </c>
      <c r="C112" s="12">
        <v>30</v>
      </c>
      <c r="D112" s="12">
        <v>9</v>
      </c>
      <c r="E112" s="12">
        <v>5</v>
      </c>
      <c r="F112" s="12">
        <v>5</v>
      </c>
      <c r="G112" s="12">
        <v>295.92395496368403</v>
      </c>
      <c r="H112" s="12">
        <v>612.45955220522399</v>
      </c>
      <c r="I112" s="32" t="s">
        <v>333</v>
      </c>
      <c r="J112" s="12">
        <v>231.62314677238399</v>
      </c>
      <c r="K112" s="12">
        <v>612.45955220522399</v>
      </c>
      <c r="N112" s="11">
        <f t="shared" si="2"/>
        <v>-64.300808191300035</v>
      </c>
      <c r="O112" s="12"/>
      <c r="Q112" s="12">
        <v>150.09920406341499</v>
      </c>
      <c r="R112" s="12"/>
      <c r="S112" s="12">
        <v>76.527308940887394</v>
      </c>
    </row>
    <row r="113" spans="1:19" x14ac:dyDescent="0.2">
      <c r="A113" s="12" t="s">
        <v>36</v>
      </c>
      <c r="B113" s="12" t="s">
        <v>154</v>
      </c>
      <c r="C113" s="12">
        <v>30</v>
      </c>
      <c r="D113" s="12">
        <v>4</v>
      </c>
      <c r="E113" s="12">
        <v>2</v>
      </c>
      <c r="F113" s="12">
        <v>7</v>
      </c>
      <c r="G113" s="12">
        <v>140.598843097686</v>
      </c>
      <c r="H113" s="12">
        <v>621.45718929635996</v>
      </c>
      <c r="I113" s="32" t="s">
        <v>333</v>
      </c>
      <c r="J113" s="12">
        <v>85.161681175231905</v>
      </c>
      <c r="K113" s="12">
        <v>621.45718929618897</v>
      </c>
      <c r="N113" s="11">
        <f t="shared" si="2"/>
        <v>-55.437161922454095</v>
      </c>
      <c r="O113" s="12"/>
      <c r="Q113" s="12">
        <v>19.346756219863799</v>
      </c>
      <c r="R113" s="12"/>
      <c r="S113" s="12">
        <v>16.897981882095301</v>
      </c>
    </row>
    <row r="114" spans="1:19" x14ac:dyDescent="0.2">
      <c r="A114" s="12" t="s">
        <v>36</v>
      </c>
      <c r="B114" s="12" t="s">
        <v>155</v>
      </c>
      <c r="C114" s="12">
        <v>30</v>
      </c>
      <c r="D114" s="12">
        <v>7</v>
      </c>
      <c r="E114" s="12">
        <v>4</v>
      </c>
      <c r="F114" s="12">
        <v>6</v>
      </c>
      <c r="G114" s="12">
        <v>595.85184597968998</v>
      </c>
      <c r="H114" s="12">
        <v>563.21653164787904</v>
      </c>
      <c r="I114" s="32" t="s">
        <v>333</v>
      </c>
      <c r="J114" s="12">
        <v>603.30199289321899</v>
      </c>
      <c r="K114" s="12">
        <v>563.21653164787904</v>
      </c>
      <c r="N114" s="11">
        <f t="shared" si="2"/>
        <v>7.4501469135290108</v>
      </c>
      <c r="O114" s="12"/>
      <c r="Q114" s="12">
        <v>59.570332050323401</v>
      </c>
      <c r="R114" s="12"/>
      <c r="S114" s="12">
        <v>28.552093029022199</v>
      </c>
    </row>
    <row r="115" spans="1:19" x14ac:dyDescent="0.2">
      <c r="A115" s="12" t="s">
        <v>36</v>
      </c>
      <c r="B115" s="12" t="s">
        <v>156</v>
      </c>
      <c r="C115" s="12">
        <v>30</v>
      </c>
      <c r="D115" s="12">
        <v>9</v>
      </c>
      <c r="E115" s="12">
        <v>5</v>
      </c>
      <c r="F115" s="12">
        <v>6</v>
      </c>
      <c r="G115" s="12">
        <v>96.883993148803697</v>
      </c>
      <c r="H115" s="12">
        <v>594.74787256859804</v>
      </c>
      <c r="I115" s="32" t="s">
        <v>333</v>
      </c>
      <c r="J115" s="12">
        <v>149.990907907485</v>
      </c>
      <c r="K115" s="12">
        <v>594.74787256859804</v>
      </c>
      <c r="N115" s="11">
        <f t="shared" si="2"/>
        <v>53.106914758681299</v>
      </c>
      <c r="O115" s="12"/>
      <c r="Q115" s="12">
        <v>136.43305897712699</v>
      </c>
      <c r="R115" s="12"/>
      <c r="S115" s="12">
        <v>85.206694126129094</v>
      </c>
    </row>
    <row r="116" spans="1:19" x14ac:dyDescent="0.2">
      <c r="A116" s="12" t="s">
        <v>36</v>
      </c>
      <c r="B116" s="12" t="s">
        <v>157</v>
      </c>
      <c r="C116" s="12">
        <v>30</v>
      </c>
      <c r="D116" s="12">
        <v>4</v>
      </c>
      <c r="E116" s="12">
        <v>2</v>
      </c>
      <c r="F116" s="12">
        <v>7</v>
      </c>
      <c r="G116" s="12">
        <v>70.358477830886798</v>
      </c>
      <c r="H116" s="12">
        <v>601.56933214826904</v>
      </c>
      <c r="I116" s="32" t="s">
        <v>333</v>
      </c>
      <c r="J116" s="12">
        <v>26.691514968871999</v>
      </c>
      <c r="K116" s="12">
        <v>601.56933214826802</v>
      </c>
      <c r="N116" s="11">
        <f t="shared" si="2"/>
        <v>-43.666962862014799</v>
      </c>
      <c r="O116" s="12"/>
      <c r="Q116" s="12">
        <v>18.841248035430901</v>
      </c>
      <c r="R116" s="12"/>
      <c r="S116" s="12">
        <v>17.7708129882812</v>
      </c>
    </row>
    <row r="117" spans="1:19" x14ac:dyDescent="0.2">
      <c r="A117" s="12" t="s">
        <v>36</v>
      </c>
      <c r="B117" s="12" t="s">
        <v>158</v>
      </c>
      <c r="C117" s="12">
        <v>30</v>
      </c>
      <c r="D117" s="12">
        <v>7</v>
      </c>
      <c r="E117" s="12">
        <v>4</v>
      </c>
      <c r="F117" s="12">
        <v>6</v>
      </c>
      <c r="G117" s="12">
        <v>199.26997303962699</v>
      </c>
      <c r="H117" s="12">
        <v>562.42026347771503</v>
      </c>
      <c r="I117" s="32" t="s">
        <v>333</v>
      </c>
      <c r="J117" s="12">
        <v>91.3948459625244</v>
      </c>
      <c r="K117" s="12">
        <v>562.42026347771503</v>
      </c>
      <c r="N117" s="11">
        <f t="shared" si="2"/>
        <v>-107.87512707710259</v>
      </c>
      <c r="O117" s="12"/>
      <c r="Q117" s="12">
        <v>49.025349140167201</v>
      </c>
      <c r="R117" s="12"/>
      <c r="S117" s="12">
        <v>20.828135013580301</v>
      </c>
    </row>
    <row r="118" spans="1:19" x14ac:dyDescent="0.2">
      <c r="A118" s="12" t="s">
        <v>36</v>
      </c>
      <c r="B118" s="12" t="s">
        <v>159</v>
      </c>
      <c r="C118" s="12">
        <v>30</v>
      </c>
      <c r="D118" s="12">
        <v>9</v>
      </c>
      <c r="E118" s="12">
        <v>5</v>
      </c>
      <c r="F118" s="12">
        <v>5</v>
      </c>
      <c r="G118" s="12">
        <v>339.91882419586102</v>
      </c>
      <c r="H118" s="12">
        <v>583.76259724559895</v>
      </c>
      <c r="I118" s="32" t="s">
        <v>333</v>
      </c>
      <c r="J118" s="12">
        <v>168.088994979858</v>
      </c>
      <c r="K118" s="12">
        <v>583.76259724559895</v>
      </c>
      <c r="N118" s="11">
        <f t="shared" si="2"/>
        <v>-171.82982921600302</v>
      </c>
      <c r="O118" s="12"/>
      <c r="Q118" s="12">
        <v>130.100435018539</v>
      </c>
      <c r="R118" s="12"/>
      <c r="S118" s="12">
        <v>81.566873073577796</v>
      </c>
    </row>
    <row r="119" spans="1:19" x14ac:dyDescent="0.2">
      <c r="A119" s="12" t="s">
        <v>36</v>
      </c>
      <c r="B119" s="12" t="s">
        <v>161</v>
      </c>
      <c r="C119" s="12">
        <v>30</v>
      </c>
      <c r="D119" s="12">
        <v>4</v>
      </c>
      <c r="E119" s="12">
        <v>2</v>
      </c>
      <c r="F119" s="12">
        <v>6</v>
      </c>
      <c r="G119" s="12">
        <v>219.28281807899401</v>
      </c>
      <c r="H119" s="12">
        <v>580.46824533450797</v>
      </c>
      <c r="I119" s="32" t="s">
        <v>333</v>
      </c>
      <c r="J119" s="12">
        <v>43.589241027832003</v>
      </c>
      <c r="K119" s="12">
        <v>580.46824533446795</v>
      </c>
      <c r="N119" s="11">
        <f t="shared" si="2"/>
        <v>-175.69357705116201</v>
      </c>
      <c r="O119" s="12"/>
      <c r="Q119" s="12">
        <v>25.781365156173699</v>
      </c>
      <c r="R119" s="12"/>
      <c r="S119" s="12">
        <v>20.404716968536299</v>
      </c>
    </row>
    <row r="120" spans="1:19" x14ac:dyDescent="0.2">
      <c r="A120" s="12" t="s">
        <v>36</v>
      </c>
      <c r="B120" s="12" t="s">
        <v>162</v>
      </c>
      <c r="C120" s="12">
        <v>30</v>
      </c>
      <c r="D120" s="12">
        <v>7</v>
      </c>
      <c r="E120" s="12">
        <v>4</v>
      </c>
      <c r="F120" s="12">
        <v>6</v>
      </c>
      <c r="G120" s="12">
        <v>452.72815108299199</v>
      </c>
      <c r="H120" s="12">
        <v>523.21459560677499</v>
      </c>
      <c r="I120" s="32" t="s">
        <v>333</v>
      </c>
      <c r="J120" s="12">
        <v>77.981070995330796</v>
      </c>
      <c r="K120" s="12">
        <v>523.21459560677499</v>
      </c>
      <c r="N120" s="11">
        <f t="shared" si="2"/>
        <v>-374.74708008766117</v>
      </c>
      <c r="O120" s="12"/>
      <c r="Q120" s="12">
        <v>55.435545206069897</v>
      </c>
      <c r="R120" s="12"/>
      <c r="S120" s="12">
        <v>22.006555795669499</v>
      </c>
    </row>
    <row r="121" spans="1:19" x14ac:dyDescent="0.2">
      <c r="A121" s="12" t="s">
        <v>36</v>
      </c>
      <c r="B121" s="12" t="s">
        <v>163</v>
      </c>
      <c r="C121" s="12">
        <v>30</v>
      </c>
      <c r="D121" s="12">
        <v>9</v>
      </c>
      <c r="E121" s="12">
        <v>5</v>
      </c>
      <c r="F121" s="12">
        <v>6</v>
      </c>
      <c r="G121" s="12">
        <v>214.107223987579</v>
      </c>
      <c r="H121" s="12">
        <v>543.33477270695005</v>
      </c>
      <c r="I121" s="32" t="s">
        <v>333</v>
      </c>
      <c r="J121" s="12">
        <v>209.83825683593699</v>
      </c>
      <c r="K121" s="12">
        <v>543.334772706948</v>
      </c>
      <c r="N121" s="11">
        <f t="shared" si="2"/>
        <v>-4.2689671516420162</v>
      </c>
      <c r="O121" s="12"/>
      <c r="Q121" s="12">
        <v>222.294666051864</v>
      </c>
      <c r="R121" s="12"/>
      <c r="S121" s="12">
        <v>90.065177202224703</v>
      </c>
    </row>
    <row r="122" spans="1:19" x14ac:dyDescent="0.2">
      <c r="A122" s="12" t="s">
        <v>36</v>
      </c>
      <c r="B122" s="12" t="s">
        <v>164</v>
      </c>
      <c r="C122" s="12">
        <v>30</v>
      </c>
      <c r="D122" s="12">
        <v>4</v>
      </c>
      <c r="E122" s="12">
        <v>2</v>
      </c>
      <c r="F122" s="12">
        <v>6</v>
      </c>
      <c r="G122" s="12">
        <v>50.270005941390899</v>
      </c>
      <c r="H122" s="12">
        <v>548.77752458700604</v>
      </c>
      <c r="I122" s="32" t="s">
        <v>333</v>
      </c>
      <c r="J122" s="12">
        <v>353.14712190628001</v>
      </c>
      <c r="K122" s="12">
        <v>548.77752458700695</v>
      </c>
      <c r="N122" s="11">
        <f t="shared" si="2"/>
        <v>302.87711596488913</v>
      </c>
      <c r="O122" s="12"/>
      <c r="Q122" s="12">
        <v>34.101470232009802</v>
      </c>
      <c r="R122" s="12"/>
      <c r="S122" s="12">
        <v>34.348992109298699</v>
      </c>
    </row>
    <row r="123" spans="1:19" x14ac:dyDescent="0.2">
      <c r="A123" s="12" t="s">
        <v>36</v>
      </c>
      <c r="B123" s="12" t="s">
        <v>165</v>
      </c>
      <c r="C123" s="12">
        <v>30</v>
      </c>
      <c r="D123" s="12">
        <v>7</v>
      </c>
      <c r="E123" s="12">
        <v>4</v>
      </c>
      <c r="F123" s="12">
        <v>7</v>
      </c>
      <c r="G123" s="12">
        <v>256.13105702400202</v>
      </c>
      <c r="H123" s="12">
        <v>563.31508522102502</v>
      </c>
      <c r="I123" s="32" t="s">
        <v>333</v>
      </c>
      <c r="J123" s="12">
        <v>66.797353029251099</v>
      </c>
      <c r="K123" s="12">
        <v>563.31508522102502</v>
      </c>
      <c r="N123" s="11">
        <f t="shared" si="2"/>
        <v>-189.33370399475092</v>
      </c>
      <c r="O123" s="12"/>
      <c r="Q123" s="12">
        <v>47.074304103851297</v>
      </c>
      <c r="R123" s="12"/>
      <c r="S123" s="12">
        <v>23.213622093200598</v>
      </c>
    </row>
    <row r="124" spans="1:19" x14ac:dyDescent="0.2">
      <c r="A124" s="12" t="s">
        <v>36</v>
      </c>
      <c r="B124" s="12" t="s">
        <v>167</v>
      </c>
      <c r="C124" s="12">
        <v>30</v>
      </c>
      <c r="D124" s="12">
        <v>9</v>
      </c>
      <c r="E124" s="12">
        <v>5</v>
      </c>
      <c r="F124" s="12">
        <v>6</v>
      </c>
      <c r="G124" s="12">
        <v>906.18831896781899</v>
      </c>
      <c r="H124" s="12">
        <v>584.75837755116697</v>
      </c>
      <c r="I124" s="32" t="s">
        <v>333</v>
      </c>
      <c r="J124" s="12">
        <v>1066.98747205734</v>
      </c>
      <c r="K124" s="12">
        <v>584.75837755116697</v>
      </c>
      <c r="N124" s="11">
        <f t="shared" si="2"/>
        <v>160.79915308952104</v>
      </c>
      <c r="O124" s="12"/>
      <c r="Q124" s="12">
        <v>266.018725156784</v>
      </c>
      <c r="R124" s="12"/>
      <c r="S124" s="12">
        <v>107.872020006179</v>
      </c>
    </row>
    <row r="125" spans="1:19" x14ac:dyDescent="0.2">
      <c r="A125" s="12" t="s">
        <v>36</v>
      </c>
      <c r="B125" s="12" t="s">
        <v>168</v>
      </c>
      <c r="C125" s="12">
        <v>30</v>
      </c>
      <c r="D125" s="12">
        <v>4</v>
      </c>
      <c r="E125" s="12">
        <v>2</v>
      </c>
      <c r="F125" s="12">
        <v>7</v>
      </c>
      <c r="G125" s="12">
        <v>196.267386198043</v>
      </c>
      <c r="H125" s="12">
        <v>594.34685666145504</v>
      </c>
      <c r="I125" s="32" t="s">
        <v>333</v>
      </c>
      <c r="J125" s="12">
        <v>38.915984869003204</v>
      </c>
      <c r="K125" s="12">
        <v>594.34685666145504</v>
      </c>
      <c r="N125" s="11">
        <f t="shared" si="2"/>
        <v>-157.35140132903979</v>
      </c>
      <c r="O125" s="12"/>
      <c r="Q125" s="12">
        <v>18.718611001968299</v>
      </c>
      <c r="R125" s="12"/>
      <c r="S125" s="12">
        <v>17.021232843399002</v>
      </c>
    </row>
    <row r="126" spans="1:19" x14ac:dyDescent="0.2">
      <c r="A126" s="12" t="s">
        <v>36</v>
      </c>
      <c r="B126" s="12" t="s">
        <v>170</v>
      </c>
      <c r="C126" s="12">
        <v>30</v>
      </c>
      <c r="D126" s="12">
        <v>7</v>
      </c>
      <c r="E126" s="12">
        <v>4</v>
      </c>
      <c r="F126" s="12">
        <v>6</v>
      </c>
      <c r="G126" s="12">
        <v>623.46699905395496</v>
      </c>
      <c r="H126" s="12">
        <v>557.62237018224505</v>
      </c>
      <c r="I126" s="32" t="s">
        <v>333</v>
      </c>
      <c r="J126" s="12">
        <v>60.114379167556699</v>
      </c>
      <c r="K126" s="12">
        <v>557.62237018224505</v>
      </c>
      <c r="N126" s="11">
        <f t="shared" si="2"/>
        <v>-563.35261988639832</v>
      </c>
      <c r="O126" s="12"/>
      <c r="Q126" s="12">
        <v>42.095918893814002</v>
      </c>
      <c r="R126" s="12"/>
      <c r="S126" s="12">
        <v>21.836570978164598</v>
      </c>
    </row>
    <row r="127" spans="1:19" x14ac:dyDescent="0.2">
      <c r="A127" s="12" t="s">
        <v>36</v>
      </c>
      <c r="B127" s="12" t="s">
        <v>171</v>
      </c>
      <c r="C127" s="12">
        <v>30</v>
      </c>
      <c r="D127" s="12">
        <v>9</v>
      </c>
      <c r="E127" s="12">
        <v>5</v>
      </c>
      <c r="F127" s="12">
        <v>6</v>
      </c>
      <c r="G127" s="12">
        <v>421.98800206184302</v>
      </c>
      <c r="H127" s="12">
        <v>599.36868580408805</v>
      </c>
      <c r="I127" s="32" t="s">
        <v>333</v>
      </c>
      <c r="J127" s="12">
        <v>158.24160695075901</v>
      </c>
      <c r="K127" s="12">
        <v>601.449498182973</v>
      </c>
      <c r="N127" s="11">
        <f t="shared" si="2"/>
        <v>-263.74639511108398</v>
      </c>
      <c r="O127" s="12"/>
      <c r="Q127" s="12">
        <v>114.64050078392</v>
      </c>
      <c r="R127" s="12"/>
      <c r="S127" s="12">
        <v>83.469442129135103</v>
      </c>
    </row>
    <row r="128" spans="1:19" x14ac:dyDescent="0.2">
      <c r="A128" s="12" t="s">
        <v>36</v>
      </c>
      <c r="B128" s="12" t="s">
        <v>172</v>
      </c>
      <c r="C128" s="12">
        <v>30</v>
      </c>
      <c r="D128" s="12">
        <v>4</v>
      </c>
      <c r="E128" s="12">
        <v>2</v>
      </c>
      <c r="F128" s="12">
        <v>7</v>
      </c>
      <c r="G128" s="12">
        <v>217.44835996627799</v>
      </c>
      <c r="H128" s="12">
        <v>585.99256243495597</v>
      </c>
      <c r="I128" s="32" t="s">
        <v>333</v>
      </c>
      <c r="J128" s="12">
        <v>100.804228067398</v>
      </c>
      <c r="K128" s="12">
        <v>585.99256243495597</v>
      </c>
      <c r="N128" s="11">
        <f t="shared" si="2"/>
        <v>-116.64413189887999</v>
      </c>
      <c r="O128" s="12"/>
      <c r="Q128" s="12">
        <v>27.120617866516099</v>
      </c>
      <c r="R128" s="12"/>
      <c r="S128" s="12">
        <v>18.3231921195983</v>
      </c>
    </row>
    <row r="129" spans="1:19" x14ac:dyDescent="0.2">
      <c r="A129" s="12" t="s">
        <v>36</v>
      </c>
      <c r="B129" s="12" t="s">
        <v>174</v>
      </c>
      <c r="C129" s="12">
        <v>30</v>
      </c>
      <c r="D129" s="12">
        <v>7</v>
      </c>
      <c r="E129" s="12">
        <v>4</v>
      </c>
      <c r="F129" s="12">
        <v>6</v>
      </c>
      <c r="G129" s="12">
        <v>2082.1337900161702</v>
      </c>
      <c r="H129" s="12">
        <v>578.95401001361301</v>
      </c>
      <c r="I129" s="32" t="s">
        <v>333</v>
      </c>
      <c r="J129" s="12">
        <v>133.44145202636699</v>
      </c>
      <c r="K129" s="12">
        <v>578.95401001361301</v>
      </c>
      <c r="N129" s="11">
        <f t="shared" si="2"/>
        <v>-1948.6923379898033</v>
      </c>
      <c r="O129" s="12"/>
      <c r="Q129" s="12">
        <v>63.528927087783799</v>
      </c>
      <c r="R129" s="12"/>
      <c r="S129" s="12">
        <v>22.508100032806301</v>
      </c>
    </row>
    <row r="130" spans="1:19" x14ac:dyDescent="0.2">
      <c r="A130" s="12" t="s">
        <v>36</v>
      </c>
      <c r="B130" s="12" t="s">
        <v>175</v>
      </c>
      <c r="C130" s="12">
        <v>30</v>
      </c>
      <c r="D130" s="12">
        <v>9</v>
      </c>
      <c r="E130" s="12">
        <v>5</v>
      </c>
      <c r="F130" s="12">
        <v>6</v>
      </c>
      <c r="G130" s="12">
        <v>368.94726204872097</v>
      </c>
      <c r="H130" s="12">
        <v>579.09016070697305</v>
      </c>
      <c r="I130" s="32" t="s">
        <v>333</v>
      </c>
      <c r="J130" s="12">
        <v>256.29806900024403</v>
      </c>
      <c r="K130" s="12">
        <v>579.09016070697101</v>
      </c>
      <c r="N130" s="11">
        <f t="shared" si="2"/>
        <v>-112.64919304847695</v>
      </c>
      <c r="O130" s="12"/>
      <c r="Q130" s="12">
        <v>256.58918595313997</v>
      </c>
      <c r="R130" s="12"/>
      <c r="S130" s="12">
        <v>94.771332025527897</v>
      </c>
    </row>
    <row r="131" spans="1:19" x14ac:dyDescent="0.2">
      <c r="A131" s="12" t="s">
        <v>36</v>
      </c>
      <c r="B131" s="12" t="s">
        <v>176</v>
      </c>
      <c r="C131" s="12">
        <v>30</v>
      </c>
      <c r="D131" s="12">
        <v>4</v>
      </c>
      <c r="E131" s="12">
        <v>2</v>
      </c>
      <c r="F131" s="12">
        <v>8</v>
      </c>
      <c r="G131" s="12">
        <v>132.62047886848401</v>
      </c>
      <c r="H131" s="12">
        <v>574.24204541515599</v>
      </c>
      <c r="I131" s="32" t="s">
        <v>333</v>
      </c>
      <c r="J131" s="12">
        <v>40.254101037979098</v>
      </c>
      <c r="K131" s="12">
        <v>574.24204541515599</v>
      </c>
      <c r="N131" s="11">
        <f t="shared" si="2"/>
        <v>-92.366377830504916</v>
      </c>
      <c r="O131" s="12"/>
      <c r="Q131" s="12">
        <v>21.886009216308501</v>
      </c>
      <c r="R131" s="12"/>
      <c r="S131" s="12">
        <v>19.648869037628099</v>
      </c>
    </row>
    <row r="132" spans="1:19" x14ac:dyDescent="0.2">
      <c r="A132" s="12" t="s">
        <v>36</v>
      </c>
      <c r="B132" s="12" t="s">
        <v>177</v>
      </c>
      <c r="C132" s="12">
        <v>30</v>
      </c>
      <c r="D132" s="12">
        <v>7</v>
      </c>
      <c r="E132" s="12">
        <v>4</v>
      </c>
      <c r="F132" s="12">
        <v>6</v>
      </c>
      <c r="G132" s="12">
        <v>649.26343512535095</v>
      </c>
      <c r="H132" s="12">
        <v>542.67434682730698</v>
      </c>
      <c r="I132" s="32" t="s">
        <v>333</v>
      </c>
      <c r="J132" s="12">
        <v>470.35267400741498</v>
      </c>
      <c r="K132" s="12">
        <v>542.67434682730698</v>
      </c>
      <c r="N132" s="11">
        <f t="shared" si="2"/>
        <v>-178.91076111793598</v>
      </c>
      <c r="O132" s="12"/>
      <c r="Q132" s="12">
        <v>76.236637115478501</v>
      </c>
      <c r="R132" s="12"/>
      <c r="S132" s="12">
        <v>22.683829069137499</v>
      </c>
    </row>
    <row r="133" spans="1:19" x14ac:dyDescent="0.2">
      <c r="A133" s="12" t="s">
        <v>36</v>
      </c>
      <c r="B133" s="12" t="s">
        <v>179</v>
      </c>
      <c r="C133" s="12">
        <v>30</v>
      </c>
      <c r="D133" s="12">
        <v>9</v>
      </c>
      <c r="E133" s="12">
        <v>5</v>
      </c>
      <c r="F133" s="12">
        <v>6</v>
      </c>
      <c r="G133" s="12">
        <v>873.00489282607998</v>
      </c>
      <c r="H133" s="12">
        <v>544.52084232311404</v>
      </c>
      <c r="I133" s="32" t="s">
        <v>333</v>
      </c>
      <c r="J133" s="12">
        <v>496.45260691642699</v>
      </c>
      <c r="K133" s="12">
        <v>544.52084232311404</v>
      </c>
      <c r="N133" s="11">
        <f t="shared" si="2"/>
        <v>-376.55228590965299</v>
      </c>
      <c r="O133" s="12"/>
      <c r="Q133" s="12">
        <v>376.42213892936701</v>
      </c>
      <c r="R133" s="12"/>
      <c r="S133" s="12">
        <v>120.57471299171399</v>
      </c>
    </row>
    <row r="134" spans="1:19" x14ac:dyDescent="0.2">
      <c r="A134" s="12" t="s">
        <v>36</v>
      </c>
      <c r="B134" s="12" t="s">
        <v>180</v>
      </c>
      <c r="C134" s="12">
        <v>30</v>
      </c>
      <c r="D134" s="12">
        <v>4</v>
      </c>
      <c r="E134" s="12">
        <v>2</v>
      </c>
      <c r="F134" s="12">
        <v>7</v>
      </c>
      <c r="G134" s="12">
        <v>501.96373796463001</v>
      </c>
      <c r="H134" s="12">
        <v>581.37177342505504</v>
      </c>
      <c r="I134" s="32" t="s">
        <v>333</v>
      </c>
      <c r="J134" s="12">
        <v>49.427655935287397</v>
      </c>
      <c r="K134" s="12">
        <v>581.37177342504503</v>
      </c>
      <c r="N134" s="11">
        <f t="shared" si="2"/>
        <v>-452.53608202934259</v>
      </c>
      <c r="O134" s="12"/>
      <c r="Q134" s="12">
        <v>27.157687187194799</v>
      </c>
      <c r="R134" s="12"/>
      <c r="S134" s="12">
        <v>17.987010002136198</v>
      </c>
    </row>
    <row r="135" spans="1:19" x14ac:dyDescent="0.2">
      <c r="A135" s="12" t="s">
        <v>36</v>
      </c>
      <c r="B135" s="12" t="s">
        <v>182</v>
      </c>
      <c r="C135" s="12">
        <v>30</v>
      </c>
      <c r="D135" s="12">
        <v>7</v>
      </c>
      <c r="E135" s="12">
        <v>4</v>
      </c>
      <c r="F135" s="12">
        <v>5</v>
      </c>
      <c r="G135" s="12">
        <v>541.92200398445095</v>
      </c>
      <c r="H135" s="12">
        <v>466.675332194129</v>
      </c>
      <c r="I135" s="32" t="s">
        <v>333</v>
      </c>
      <c r="J135" s="12">
        <v>379.95497703552201</v>
      </c>
      <c r="K135" s="12">
        <v>466.675332194129</v>
      </c>
      <c r="N135" s="11">
        <f t="shared" si="2"/>
        <v>-161.96702694892895</v>
      </c>
      <c r="O135" s="12"/>
      <c r="Q135" s="12">
        <v>179.831336975097</v>
      </c>
      <c r="R135" s="12"/>
      <c r="S135" s="12">
        <v>23.007072925567599</v>
      </c>
    </row>
    <row r="136" spans="1:19" x14ac:dyDescent="0.2">
      <c r="A136" s="12" t="s">
        <v>36</v>
      </c>
      <c r="B136" s="12" t="s">
        <v>183</v>
      </c>
      <c r="C136" s="12">
        <v>30</v>
      </c>
      <c r="D136" s="12">
        <v>9</v>
      </c>
      <c r="E136" s="12">
        <v>5</v>
      </c>
      <c r="F136" s="12">
        <v>5</v>
      </c>
      <c r="G136" s="12">
        <v>286.97182106971701</v>
      </c>
      <c r="H136" s="12">
        <v>500.72101593529601</v>
      </c>
      <c r="I136" s="32" t="s">
        <v>333</v>
      </c>
      <c r="J136" s="12">
        <v>493.25882387161198</v>
      </c>
      <c r="K136" s="12">
        <v>500.72101593529601</v>
      </c>
      <c r="N136" s="11">
        <f t="shared" si="2"/>
        <v>206.28700280189497</v>
      </c>
      <c r="O136" s="12"/>
      <c r="Q136" s="12">
        <v>271.63549590110699</v>
      </c>
      <c r="R136" s="12"/>
      <c r="S136" s="12">
        <v>101.6676800251</v>
      </c>
    </row>
    <row r="137" spans="1:19" x14ac:dyDescent="0.2">
      <c r="A137" s="12" t="s">
        <v>36</v>
      </c>
      <c r="B137" s="12" t="s">
        <v>184</v>
      </c>
      <c r="C137" s="12">
        <v>30</v>
      </c>
      <c r="D137" s="12">
        <v>4</v>
      </c>
      <c r="E137" s="12">
        <v>2</v>
      </c>
      <c r="F137" s="12">
        <v>6</v>
      </c>
      <c r="G137" s="12">
        <v>11.7489891052246</v>
      </c>
      <c r="H137" s="12">
        <v>556.11062249922998</v>
      </c>
      <c r="I137" s="32" t="s">
        <v>333</v>
      </c>
      <c r="J137" s="12">
        <v>23.8899099826812</v>
      </c>
      <c r="K137" s="12">
        <v>556.11062249922998</v>
      </c>
      <c r="N137" s="11">
        <f t="shared" si="2"/>
        <v>12.140920877456599</v>
      </c>
      <c r="O137" s="12"/>
      <c r="Q137" s="12">
        <v>19.698807954788201</v>
      </c>
      <c r="R137" s="12"/>
      <c r="S137" s="12">
        <v>18.016749858856201</v>
      </c>
    </row>
    <row r="138" spans="1:19" x14ac:dyDescent="0.2">
      <c r="A138" s="12" t="s">
        <v>36</v>
      </c>
      <c r="B138" s="12" t="s">
        <v>185</v>
      </c>
      <c r="C138" s="12">
        <v>30</v>
      </c>
      <c r="D138" s="12">
        <v>7</v>
      </c>
      <c r="E138" s="12">
        <v>4</v>
      </c>
      <c r="F138" s="12">
        <v>7</v>
      </c>
      <c r="G138" s="12">
        <v>26.1485610008239</v>
      </c>
      <c r="H138" s="12">
        <v>575.96044097471804</v>
      </c>
      <c r="I138" s="32" t="s">
        <v>333</v>
      </c>
      <c r="J138" s="12">
        <v>44.971864938735898</v>
      </c>
      <c r="K138" s="12">
        <v>575.96044097471804</v>
      </c>
      <c r="N138" s="11">
        <f t="shared" si="2"/>
        <v>18.823303937911998</v>
      </c>
      <c r="O138" s="12"/>
      <c r="Q138" s="12">
        <v>39.8254780769348</v>
      </c>
      <c r="R138" s="12"/>
      <c r="S138" s="12">
        <v>18.760917901992698</v>
      </c>
    </row>
    <row r="139" spans="1:19" x14ac:dyDescent="0.2">
      <c r="A139" s="12" t="s">
        <v>36</v>
      </c>
      <c r="B139" s="12" t="s">
        <v>186</v>
      </c>
      <c r="C139" s="12">
        <v>30</v>
      </c>
      <c r="D139" s="12">
        <v>9</v>
      </c>
      <c r="E139" s="12">
        <v>5</v>
      </c>
      <c r="F139" s="12">
        <v>6</v>
      </c>
      <c r="G139" s="12">
        <v>151.90402483940099</v>
      </c>
      <c r="H139" s="12">
        <v>617.69920860269997</v>
      </c>
      <c r="I139" s="32" t="s">
        <v>333</v>
      </c>
      <c r="J139" s="12">
        <v>193.88308906555099</v>
      </c>
      <c r="K139" s="12">
        <v>617.69920860269997</v>
      </c>
      <c r="N139" s="11">
        <f t="shared" si="2"/>
        <v>41.979064226150001</v>
      </c>
      <c r="O139" s="12"/>
      <c r="Q139" s="12">
        <v>137.36906099319401</v>
      </c>
      <c r="R139" s="12"/>
      <c r="S139" s="12">
        <v>80.117114067077594</v>
      </c>
    </row>
    <row r="140" spans="1:19" x14ac:dyDescent="0.2">
      <c r="A140" s="12" t="s">
        <v>36</v>
      </c>
      <c r="B140" s="12" t="s">
        <v>187</v>
      </c>
      <c r="C140" s="12">
        <v>30</v>
      </c>
      <c r="D140" s="12">
        <v>4</v>
      </c>
      <c r="E140" s="12">
        <v>2</v>
      </c>
      <c r="F140" s="12">
        <v>7</v>
      </c>
      <c r="G140" s="12">
        <v>17.1348118782043</v>
      </c>
      <c r="H140" s="12">
        <v>603.62183296559897</v>
      </c>
      <c r="I140" s="32" t="s">
        <v>333</v>
      </c>
      <c r="J140" s="12">
        <v>24.187807083129801</v>
      </c>
      <c r="K140" s="12">
        <v>603.62183296559897</v>
      </c>
      <c r="N140" s="11">
        <f t="shared" si="2"/>
        <v>7.0529952049255016</v>
      </c>
      <c r="O140" s="12"/>
      <c r="Q140" s="12">
        <v>19.944602966308501</v>
      </c>
      <c r="R140" s="12"/>
      <c r="S140" s="12">
        <v>16.859472036361598</v>
      </c>
    </row>
    <row r="141" spans="1:19" x14ac:dyDescent="0.2">
      <c r="A141" s="12" t="s">
        <v>36</v>
      </c>
      <c r="B141" s="12" t="s">
        <v>188</v>
      </c>
      <c r="C141" s="12">
        <v>30</v>
      </c>
      <c r="D141" s="12">
        <v>7</v>
      </c>
      <c r="E141" s="12">
        <v>4</v>
      </c>
      <c r="F141" s="12">
        <v>6</v>
      </c>
      <c r="G141" s="12">
        <v>119.38634300231899</v>
      </c>
      <c r="H141" s="12">
        <v>594.06347808683699</v>
      </c>
      <c r="I141" s="32" t="s">
        <v>333</v>
      </c>
      <c r="J141" s="12">
        <v>80.862789869308401</v>
      </c>
      <c r="K141" s="12">
        <v>594.06347808683995</v>
      </c>
      <c r="M141" s="11"/>
      <c r="N141" s="11">
        <f t="shared" si="2"/>
        <v>-38.523553133010594</v>
      </c>
      <c r="O141" s="12"/>
      <c r="Q141" s="12">
        <v>42.081139087677002</v>
      </c>
      <c r="R141" s="12"/>
      <c r="S141" s="12">
        <v>19.173222064971899</v>
      </c>
    </row>
    <row r="142" spans="1:19" x14ac:dyDescent="0.2">
      <c r="A142" s="12" t="s">
        <v>36</v>
      </c>
      <c r="B142" s="12" t="s">
        <v>189</v>
      </c>
      <c r="C142" s="12">
        <v>30</v>
      </c>
      <c r="D142" s="12">
        <v>9</v>
      </c>
      <c r="E142" s="12">
        <v>5</v>
      </c>
      <c r="F142" s="12">
        <v>6</v>
      </c>
      <c r="G142" s="12">
        <v>136.28470110893201</v>
      </c>
      <c r="H142" s="12">
        <v>618.45887816592597</v>
      </c>
      <c r="I142" s="32" t="s">
        <v>333</v>
      </c>
      <c r="J142" s="12">
        <v>272.14002013206402</v>
      </c>
      <c r="K142" s="12">
        <v>618.45887816592699</v>
      </c>
      <c r="M142" s="12"/>
      <c r="N142" s="11">
        <f t="shared" si="2"/>
        <v>135.85531902313201</v>
      </c>
      <c r="O142" s="12"/>
      <c r="Q142" s="12">
        <v>183.62671303748999</v>
      </c>
      <c r="R142" s="12"/>
      <c r="S142" s="12">
        <v>78.023360013961707</v>
      </c>
    </row>
    <row r="143" spans="1:19" x14ac:dyDescent="0.2">
      <c r="A143" s="12" t="s">
        <v>36</v>
      </c>
      <c r="B143" s="12" t="s">
        <v>190</v>
      </c>
      <c r="C143" s="12">
        <v>30</v>
      </c>
      <c r="D143" s="12">
        <v>4</v>
      </c>
      <c r="E143" s="12">
        <v>2</v>
      </c>
      <c r="F143" s="12">
        <v>7</v>
      </c>
      <c r="G143" s="12">
        <v>19.549315929412799</v>
      </c>
      <c r="H143" s="12">
        <v>592.13787113389401</v>
      </c>
      <c r="I143" s="32" t="s">
        <v>333</v>
      </c>
      <c r="J143" s="12">
        <v>36.393302917480398</v>
      </c>
      <c r="K143" s="12">
        <v>595.10197798587899</v>
      </c>
      <c r="M143" s="12"/>
      <c r="N143" s="11">
        <f t="shared" si="2"/>
        <v>16.843986988067599</v>
      </c>
      <c r="O143" s="12"/>
      <c r="Q143" s="12">
        <v>27.7692999839782</v>
      </c>
      <c r="R143" s="12"/>
      <c r="S143" s="12">
        <v>20.667693138122502</v>
      </c>
    </row>
    <row r="144" spans="1:19" x14ac:dyDescent="0.2">
      <c r="A144" s="12" t="s">
        <v>36</v>
      </c>
      <c r="B144" s="12" t="s">
        <v>191</v>
      </c>
      <c r="C144" s="12">
        <v>30</v>
      </c>
      <c r="D144" s="12">
        <v>7</v>
      </c>
      <c r="E144" s="12">
        <v>4</v>
      </c>
      <c r="F144" s="12">
        <v>6</v>
      </c>
      <c r="G144" s="12">
        <v>85.011571168899494</v>
      </c>
      <c r="H144" s="12">
        <v>554.97510150857397</v>
      </c>
      <c r="I144" s="32" t="s">
        <v>333</v>
      </c>
      <c r="J144" s="12">
        <v>54.122258901595998</v>
      </c>
      <c r="K144" s="12">
        <v>554.97510150857397</v>
      </c>
      <c r="M144" s="12"/>
      <c r="N144" s="11">
        <f t="shared" si="2"/>
        <v>-30.889312267303495</v>
      </c>
      <c r="O144" s="12"/>
      <c r="Q144" s="12">
        <v>43.969998121261597</v>
      </c>
      <c r="R144" s="12"/>
      <c r="S144" s="12">
        <v>20.1462531089782</v>
      </c>
    </row>
    <row r="145" spans="1:19" x14ac:dyDescent="0.2">
      <c r="A145" s="12" t="s">
        <v>36</v>
      </c>
      <c r="B145" s="12" t="s">
        <v>192</v>
      </c>
      <c r="C145" s="12">
        <v>30</v>
      </c>
      <c r="D145" s="12">
        <v>9</v>
      </c>
      <c r="E145" s="12">
        <v>5</v>
      </c>
      <c r="F145" s="12">
        <v>6</v>
      </c>
      <c r="G145" s="12">
        <v>59.247864007949801</v>
      </c>
      <c r="H145" s="12">
        <v>578.67001386192806</v>
      </c>
      <c r="I145" s="32" t="s">
        <v>333</v>
      </c>
      <c r="J145" s="12">
        <v>263.21537399291901</v>
      </c>
      <c r="K145" s="12">
        <v>578.67001386192806</v>
      </c>
      <c r="M145" s="12"/>
      <c r="N145" s="11">
        <f t="shared" si="2"/>
        <v>203.96750998496921</v>
      </c>
      <c r="O145" s="12"/>
      <c r="Q145" s="12">
        <v>124.84536600112899</v>
      </c>
      <c r="R145" s="12"/>
      <c r="S145" s="12">
        <v>88.606312990188599</v>
      </c>
    </row>
    <row r="146" spans="1:19" x14ac:dyDescent="0.2">
      <c r="A146" s="12" t="s">
        <v>36</v>
      </c>
      <c r="B146" s="12" t="s">
        <v>193</v>
      </c>
      <c r="C146" s="12">
        <v>30</v>
      </c>
      <c r="D146" s="12">
        <v>4</v>
      </c>
      <c r="E146" s="12">
        <v>2</v>
      </c>
      <c r="F146" s="12">
        <v>8</v>
      </c>
      <c r="G146" s="12">
        <v>17.1578929424285</v>
      </c>
      <c r="H146" s="12">
        <v>593.79201706580398</v>
      </c>
      <c r="I146" s="32" t="s">
        <v>333</v>
      </c>
      <c r="J146" s="12">
        <v>34.8702328205108</v>
      </c>
      <c r="K146" s="12">
        <v>593.79201706580398</v>
      </c>
      <c r="M146" s="12"/>
      <c r="N146" s="11">
        <f t="shared" si="2"/>
        <v>17.7123398780823</v>
      </c>
      <c r="O146" s="12"/>
      <c r="Q146" s="12">
        <v>18.771366834640499</v>
      </c>
      <c r="R146" s="12"/>
      <c r="S146" s="12">
        <v>17.2028050422668</v>
      </c>
    </row>
    <row r="147" spans="1:19" x14ac:dyDescent="0.2">
      <c r="A147" s="12" t="s">
        <v>36</v>
      </c>
      <c r="B147" s="12" t="s">
        <v>194</v>
      </c>
      <c r="C147" s="12">
        <v>30</v>
      </c>
      <c r="D147" s="12">
        <v>7</v>
      </c>
      <c r="E147" s="12">
        <v>4</v>
      </c>
      <c r="F147" s="12">
        <v>6</v>
      </c>
      <c r="G147" s="12">
        <v>70.561466932296696</v>
      </c>
      <c r="H147" s="12">
        <v>555.82746540212497</v>
      </c>
      <c r="I147" s="32" t="s">
        <v>333</v>
      </c>
      <c r="J147" s="12">
        <v>60.093338012695298</v>
      </c>
      <c r="K147" s="12">
        <v>555.82746540212497</v>
      </c>
      <c r="M147" s="12"/>
      <c r="N147" s="11">
        <f t="shared" si="2"/>
        <v>-10.468128919601398</v>
      </c>
      <c r="O147" s="12"/>
      <c r="Q147" s="12">
        <v>45.519190073013299</v>
      </c>
      <c r="S147" s="12">
        <v>19.312217950820902</v>
      </c>
    </row>
    <row r="148" spans="1:19" x14ac:dyDescent="0.2">
      <c r="A148" s="12" t="s">
        <v>36</v>
      </c>
      <c r="B148" s="12" t="s">
        <v>195</v>
      </c>
      <c r="C148" s="12">
        <v>30</v>
      </c>
      <c r="D148" s="12">
        <v>9</v>
      </c>
      <c r="E148" s="12">
        <v>5</v>
      </c>
      <c r="F148" s="12">
        <v>6</v>
      </c>
      <c r="G148" s="12">
        <v>290.02470493316599</v>
      </c>
      <c r="H148" s="12">
        <v>590.10712208380301</v>
      </c>
      <c r="I148" s="32" t="s">
        <v>333</v>
      </c>
      <c r="J148" s="12">
        <v>218.79719495773301</v>
      </c>
      <c r="K148" s="12">
        <v>590.10712208380301</v>
      </c>
      <c r="M148" s="12"/>
      <c r="N148" s="11">
        <f t="shared" si="2"/>
        <v>-71.22750997543298</v>
      </c>
      <c r="O148" s="12"/>
      <c r="Q148" s="12">
        <v>201.029541015625</v>
      </c>
      <c r="S148" s="12">
        <v>75.3449640274047</v>
      </c>
    </row>
    <row r="149" spans="1:19" x14ac:dyDescent="0.2">
      <c r="A149" s="12" t="s">
        <v>36</v>
      </c>
      <c r="B149" s="12" t="s">
        <v>197</v>
      </c>
      <c r="C149" s="12">
        <v>30</v>
      </c>
      <c r="D149" s="12">
        <v>4</v>
      </c>
      <c r="E149" s="12">
        <v>2</v>
      </c>
      <c r="F149" s="12">
        <v>7</v>
      </c>
      <c r="G149" s="12">
        <v>36.231708049774099</v>
      </c>
      <c r="H149" s="12">
        <v>595.85638509711305</v>
      </c>
      <c r="I149" s="32" t="s">
        <v>333</v>
      </c>
      <c r="J149" s="12">
        <v>48.926542997360201</v>
      </c>
      <c r="K149" s="12">
        <v>595.85638509707599</v>
      </c>
      <c r="M149" s="12"/>
      <c r="N149" s="11">
        <f t="shared" si="2"/>
        <v>12.694834947586102</v>
      </c>
      <c r="O149" s="12"/>
      <c r="Q149" s="12">
        <v>18.394740104675201</v>
      </c>
      <c r="S149" s="12">
        <v>16.952522993087701</v>
      </c>
    </row>
    <row r="150" spans="1:19" x14ac:dyDescent="0.2">
      <c r="A150" s="12" t="s">
        <v>36</v>
      </c>
      <c r="B150" s="12" t="s">
        <v>198</v>
      </c>
      <c r="C150" s="12">
        <v>30</v>
      </c>
      <c r="D150" s="12">
        <v>7</v>
      </c>
      <c r="E150" s="12">
        <v>4</v>
      </c>
      <c r="F150" s="12">
        <v>6</v>
      </c>
      <c r="G150" s="12">
        <v>36.621197938919003</v>
      </c>
      <c r="H150" s="12">
        <v>484.49302925277902</v>
      </c>
      <c r="I150" s="32" t="s">
        <v>333</v>
      </c>
      <c r="J150" s="12">
        <v>73.820250988006507</v>
      </c>
      <c r="K150" s="12">
        <v>484.49302925266102</v>
      </c>
      <c r="M150" s="12"/>
      <c r="N150" s="11">
        <f t="shared" si="2"/>
        <v>37.199053049087503</v>
      </c>
      <c r="O150" s="12"/>
      <c r="Q150" s="12">
        <v>65.441518068313599</v>
      </c>
      <c r="S150" s="12">
        <v>19.3418319225311</v>
      </c>
    </row>
    <row r="151" spans="1:19" x14ac:dyDescent="0.2">
      <c r="A151" s="12" t="s">
        <v>36</v>
      </c>
      <c r="B151" s="12" t="s">
        <v>200</v>
      </c>
      <c r="C151" s="12">
        <v>30</v>
      </c>
      <c r="D151" s="12">
        <v>9</v>
      </c>
      <c r="E151" s="12">
        <v>5</v>
      </c>
      <c r="F151" s="12">
        <v>7</v>
      </c>
      <c r="G151" s="12">
        <v>137.73685503005899</v>
      </c>
      <c r="H151" s="12">
        <v>579.970793506929</v>
      </c>
      <c r="I151" s="32" t="s">
        <v>333</v>
      </c>
      <c r="J151" s="12">
        <v>1022.17824912071</v>
      </c>
      <c r="K151" s="12">
        <v>579.970793506929</v>
      </c>
      <c r="M151" s="12"/>
      <c r="N151" s="11">
        <f t="shared" si="2"/>
        <v>884.44139409065099</v>
      </c>
      <c r="O151" s="12"/>
      <c r="Q151" s="12">
        <v>142.61110305786099</v>
      </c>
      <c r="S151" s="12">
        <v>81.575819969177203</v>
      </c>
    </row>
    <row r="152" spans="1:19" s="33" customFormat="1" x14ac:dyDescent="0.2">
      <c r="G152" s="33">
        <f>AVERAGE(G92:G151)</f>
        <v>262.44824706713331</v>
      </c>
      <c r="I152" s="34"/>
      <c r="J152" s="33">
        <f>AVERAGE(J92:J151)</f>
        <v>218.45357939752441</v>
      </c>
      <c r="L152" s="36"/>
      <c r="M152" s="35"/>
      <c r="N152" s="35">
        <f>COUNTIF(N92:N151, "&lt;0")</f>
        <v>33</v>
      </c>
      <c r="O152" s="33">
        <v>-1</v>
      </c>
      <c r="Q152" s="33">
        <f>AVERAGE(Q92:Q151)</f>
        <v>89.773588244120134</v>
      </c>
      <c r="S152" s="33">
        <f>AVERAGE(S92:S151)</f>
        <v>42.979186638196246</v>
      </c>
    </row>
    <row r="153" spans="1:19" x14ac:dyDescent="0.2">
      <c r="M153" s="12"/>
      <c r="N153" s="12"/>
      <c r="Q153" s="11">
        <v>30.898905992507899</v>
      </c>
    </row>
    <row r="154" spans="1:19" x14ac:dyDescent="0.2">
      <c r="A154" s="11" t="s">
        <v>36</v>
      </c>
      <c r="B154" s="11" t="s">
        <v>202</v>
      </c>
      <c r="C154" s="11">
        <v>50</v>
      </c>
      <c r="D154" s="11">
        <v>4</v>
      </c>
      <c r="E154" s="11">
        <v>2</v>
      </c>
      <c r="F154" s="11">
        <v>12</v>
      </c>
      <c r="G154" s="11">
        <v>1014.4743928909299</v>
      </c>
      <c r="H154" s="11">
        <v>904.67917181827704</v>
      </c>
      <c r="I154" s="31" t="s">
        <v>333</v>
      </c>
      <c r="J154" s="12">
        <v>10800</v>
      </c>
      <c r="K154" s="12">
        <v>904.67917181827704</v>
      </c>
      <c r="L154" s="37">
        <v>30.898905992507899</v>
      </c>
      <c r="M154" s="12"/>
      <c r="N154" s="11">
        <f>J154-G154</f>
        <v>9785.5256071090698</v>
      </c>
      <c r="P154">
        <f>K154-H154</f>
        <v>0</v>
      </c>
      <c r="Q154" s="12">
        <v>226.57696485519401</v>
      </c>
    </row>
    <row r="155" spans="1:19" x14ac:dyDescent="0.2">
      <c r="A155" s="12" t="s">
        <v>36</v>
      </c>
      <c r="B155" s="12" t="s">
        <v>204</v>
      </c>
      <c r="C155" s="12">
        <v>50</v>
      </c>
      <c r="D155" s="12">
        <v>7</v>
      </c>
      <c r="E155" s="12">
        <v>4</v>
      </c>
      <c r="F155" s="12">
        <v>10</v>
      </c>
      <c r="G155" s="12">
        <v>1299.2266840934701</v>
      </c>
      <c r="H155" s="12">
        <v>747.15817166929605</v>
      </c>
      <c r="I155" s="32" t="s">
        <v>333</v>
      </c>
      <c r="J155" s="12">
        <v>3546.6976661682102</v>
      </c>
      <c r="K155" s="12">
        <v>747.15817166929605</v>
      </c>
      <c r="L155" s="38">
        <v>226.57696485519401</v>
      </c>
      <c r="M155" s="12"/>
      <c r="N155" s="12">
        <f>J155-G155</f>
        <v>2247.4709820747403</v>
      </c>
      <c r="P155">
        <f t="shared" ref="P155:P212" si="3">K155-H155</f>
        <v>0</v>
      </c>
      <c r="Q155" s="12">
        <v>679.61276292800903</v>
      </c>
    </row>
    <row r="156" spans="1:19" x14ac:dyDescent="0.2">
      <c r="A156" s="12" t="s">
        <v>36</v>
      </c>
      <c r="B156" s="12" t="s">
        <v>206</v>
      </c>
      <c r="C156" s="12">
        <v>50</v>
      </c>
      <c r="D156" s="12">
        <v>9</v>
      </c>
      <c r="E156" s="12">
        <v>5</v>
      </c>
      <c r="F156" s="12">
        <v>10</v>
      </c>
      <c r="G156" s="12">
        <v>692.63949894904999</v>
      </c>
      <c r="H156" s="12">
        <v>806.07474252105897</v>
      </c>
      <c r="I156" s="32" t="s">
        <v>333</v>
      </c>
      <c r="J156" s="12">
        <v>1183.5720741748801</v>
      </c>
      <c r="K156" s="12">
        <v>806.07474252105806</v>
      </c>
      <c r="L156" s="38">
        <v>679.61276292800903</v>
      </c>
      <c r="M156" s="12"/>
      <c r="N156" s="12">
        <f t="shared" ref="N156:N212" si="4">J156-G156</f>
        <v>490.93257522583008</v>
      </c>
      <c r="O156" s="11"/>
      <c r="P156">
        <v>0</v>
      </c>
      <c r="Q156" s="12">
        <v>102.46935606002801</v>
      </c>
    </row>
    <row r="157" spans="1:19" x14ac:dyDescent="0.2">
      <c r="A157" s="12" t="s">
        <v>36</v>
      </c>
      <c r="B157" s="12" t="s">
        <v>207</v>
      </c>
      <c r="C157" s="12">
        <v>50</v>
      </c>
      <c r="D157" s="12">
        <v>4</v>
      </c>
      <c r="E157" s="12">
        <v>2</v>
      </c>
      <c r="F157" s="12">
        <v>12</v>
      </c>
      <c r="G157" s="12">
        <v>997.40942716598499</v>
      </c>
      <c r="H157" s="12">
        <v>929.59586886478803</v>
      </c>
      <c r="I157" s="32" t="s">
        <v>333</v>
      </c>
      <c r="J157" s="12">
        <v>398.61134099960299</v>
      </c>
      <c r="K157" s="12">
        <v>929.59586886478803</v>
      </c>
      <c r="L157" s="38">
        <v>102.46935606002801</v>
      </c>
      <c r="M157" s="12"/>
      <c r="N157" s="12">
        <f t="shared" si="4"/>
        <v>-598.79808616638206</v>
      </c>
      <c r="O157" s="12"/>
      <c r="P157">
        <f t="shared" si="3"/>
        <v>0</v>
      </c>
      <c r="Q157" s="12">
        <v>159.913725852966</v>
      </c>
    </row>
    <row r="158" spans="1:19" x14ac:dyDescent="0.2">
      <c r="A158" s="12" t="s">
        <v>36</v>
      </c>
      <c r="B158" s="12" t="s">
        <v>208</v>
      </c>
      <c r="C158" s="12">
        <v>50</v>
      </c>
      <c r="D158" s="12">
        <v>7</v>
      </c>
      <c r="E158" s="12">
        <v>4</v>
      </c>
      <c r="F158" s="12">
        <v>10</v>
      </c>
      <c r="G158" s="12">
        <v>561.03775000572205</v>
      </c>
      <c r="H158" s="12">
        <v>744.25675699009105</v>
      </c>
      <c r="I158" s="32" t="s">
        <v>333</v>
      </c>
      <c r="J158" s="12">
        <v>125.608488082885</v>
      </c>
      <c r="K158" s="12">
        <v>744.25675699009105</v>
      </c>
      <c r="L158" s="38">
        <v>159.913725852966</v>
      </c>
      <c r="M158" s="12"/>
      <c r="N158" s="12">
        <f t="shared" si="4"/>
        <v>-435.42926192283704</v>
      </c>
      <c r="O158" s="12"/>
      <c r="P158">
        <f t="shared" si="3"/>
        <v>0</v>
      </c>
      <c r="Q158" s="12">
        <v>783.13228893279995</v>
      </c>
    </row>
    <row r="159" spans="1:19" x14ac:dyDescent="0.2">
      <c r="A159" s="12" t="s">
        <v>36</v>
      </c>
      <c r="B159" s="12" t="s">
        <v>210</v>
      </c>
      <c r="C159" s="12">
        <v>50</v>
      </c>
      <c r="D159" s="12">
        <v>9</v>
      </c>
      <c r="E159" s="12">
        <v>5</v>
      </c>
      <c r="F159" s="12">
        <v>9</v>
      </c>
      <c r="G159" s="12">
        <v>10847.1259100437</v>
      </c>
      <c r="H159" s="12">
        <v>834.17200706027995</v>
      </c>
      <c r="I159" s="32">
        <v>6.3130275143983604E-3</v>
      </c>
      <c r="J159" s="12">
        <v>4946.8398449420902</v>
      </c>
      <c r="K159" s="12">
        <v>834.17200706027995</v>
      </c>
      <c r="L159" s="38">
        <v>783.13228893279995</v>
      </c>
      <c r="M159" s="12"/>
      <c r="N159" s="12"/>
      <c r="O159" s="12"/>
      <c r="P159">
        <f t="shared" si="3"/>
        <v>0</v>
      </c>
      <c r="Q159" s="12">
        <v>27.6614298820495</v>
      </c>
    </row>
    <row r="160" spans="1:19" x14ac:dyDescent="0.2">
      <c r="A160" s="12" t="s">
        <v>36</v>
      </c>
      <c r="B160" s="12" t="s">
        <v>213</v>
      </c>
      <c r="C160" s="12">
        <v>50</v>
      </c>
      <c r="D160" s="12">
        <v>4</v>
      </c>
      <c r="E160" s="12">
        <v>2</v>
      </c>
      <c r="F160" s="12">
        <v>12</v>
      </c>
      <c r="G160" s="12">
        <v>5839.1832790374701</v>
      </c>
      <c r="H160" s="12">
        <v>927.16749168362298</v>
      </c>
      <c r="I160" s="32" t="s">
        <v>333</v>
      </c>
      <c r="J160" s="12">
        <v>9889.5970411300605</v>
      </c>
      <c r="K160" s="12">
        <v>927.16749168362298</v>
      </c>
      <c r="L160" s="38">
        <v>27.6614298820495</v>
      </c>
      <c r="M160" s="12"/>
      <c r="N160" s="12">
        <f t="shared" si="4"/>
        <v>4050.4137620925903</v>
      </c>
      <c r="O160" s="12"/>
      <c r="P160">
        <f t="shared" si="3"/>
        <v>0</v>
      </c>
      <c r="Q160" s="12">
        <v>209.08064913749601</v>
      </c>
    </row>
    <row r="161" spans="1:17" x14ac:dyDescent="0.2">
      <c r="A161" s="12" t="s">
        <v>36</v>
      </c>
      <c r="B161" s="12" t="s">
        <v>215</v>
      </c>
      <c r="C161" s="12">
        <v>50</v>
      </c>
      <c r="D161" s="12">
        <v>7</v>
      </c>
      <c r="E161" s="12">
        <v>4</v>
      </c>
      <c r="F161" s="12">
        <v>9</v>
      </c>
      <c r="G161" s="12">
        <v>9816.5023601055109</v>
      </c>
      <c r="H161" s="12">
        <v>705.85673858062103</v>
      </c>
      <c r="I161" s="32" t="s">
        <v>333</v>
      </c>
      <c r="J161" s="12">
        <v>10800</v>
      </c>
      <c r="K161" s="12">
        <v>708.16</v>
      </c>
      <c r="L161" s="38">
        <v>209.08064913749601</v>
      </c>
      <c r="M161" s="12"/>
      <c r="N161" s="12">
        <f t="shared" si="4"/>
        <v>983.49763989448911</v>
      </c>
      <c r="O161" s="12"/>
      <c r="P161">
        <f t="shared" si="3"/>
        <v>2.3032614193789414</v>
      </c>
      <c r="Q161" s="12">
        <v>782.276211977005</v>
      </c>
    </row>
    <row r="162" spans="1:17" x14ac:dyDescent="0.2">
      <c r="A162" s="12" t="s">
        <v>36</v>
      </c>
      <c r="B162" s="12" t="s">
        <v>217</v>
      </c>
      <c r="C162" s="12">
        <v>50</v>
      </c>
      <c r="D162" s="12">
        <v>9</v>
      </c>
      <c r="E162" s="12">
        <v>5</v>
      </c>
      <c r="F162" s="12">
        <v>10</v>
      </c>
      <c r="G162" s="12">
        <v>1941.2507319450301</v>
      </c>
      <c r="H162" s="12">
        <v>806.74999695620102</v>
      </c>
      <c r="I162" s="32" t="s">
        <v>333</v>
      </c>
      <c r="J162" s="12">
        <v>1962.7768998146</v>
      </c>
      <c r="K162" s="12">
        <v>806.74999695620102</v>
      </c>
      <c r="L162" s="38">
        <v>782.276211977005</v>
      </c>
      <c r="M162" s="12"/>
      <c r="N162" s="12">
        <f t="shared" si="4"/>
        <v>21.526167869569917</v>
      </c>
      <c r="O162" s="12"/>
      <c r="P162">
        <f t="shared" si="3"/>
        <v>0</v>
      </c>
      <c r="Q162" s="12">
        <v>31.397694110870301</v>
      </c>
    </row>
    <row r="163" spans="1:17" x14ac:dyDescent="0.2">
      <c r="A163" s="12" t="s">
        <v>36</v>
      </c>
      <c r="B163" s="12" t="s">
        <v>219</v>
      </c>
      <c r="C163" s="12">
        <v>50</v>
      </c>
      <c r="D163" s="12">
        <v>4</v>
      </c>
      <c r="E163" s="12">
        <v>2</v>
      </c>
      <c r="F163" s="12">
        <v>12</v>
      </c>
      <c r="G163" s="12">
        <v>1430.28170609474</v>
      </c>
      <c r="H163" s="12">
        <v>863.44330607754898</v>
      </c>
      <c r="I163" s="32" t="s">
        <v>333</v>
      </c>
      <c r="J163" s="12">
        <v>1429.0134651660901</v>
      </c>
      <c r="K163" s="12">
        <v>863.44330608101404</v>
      </c>
      <c r="L163" s="38">
        <v>31.397694110870301</v>
      </c>
      <c r="M163" s="12"/>
      <c r="N163" s="12">
        <f t="shared" si="4"/>
        <v>-1.2682409286499023</v>
      </c>
      <c r="O163" s="12"/>
      <c r="P163">
        <v>0</v>
      </c>
      <c r="Q163" s="12">
        <v>364.377815008163</v>
      </c>
    </row>
    <row r="164" spans="1:17" x14ac:dyDescent="0.2">
      <c r="A164" s="12" t="s">
        <v>36</v>
      </c>
      <c r="B164" s="12" t="s">
        <v>221</v>
      </c>
      <c r="C164" s="12">
        <v>50</v>
      </c>
      <c r="D164" s="12">
        <v>7</v>
      </c>
      <c r="E164" s="12">
        <v>4</v>
      </c>
      <c r="F164" s="12">
        <v>9</v>
      </c>
      <c r="G164" s="12">
        <v>1567.06247997283</v>
      </c>
      <c r="H164" s="12">
        <v>732.07830938304596</v>
      </c>
      <c r="I164" s="32" t="s">
        <v>333</v>
      </c>
      <c r="J164" s="12">
        <v>3345.3090882301299</v>
      </c>
      <c r="K164" s="12">
        <v>732.07830938304699</v>
      </c>
      <c r="L164" s="38">
        <v>364.377815008163</v>
      </c>
      <c r="M164" s="12"/>
      <c r="N164" s="12">
        <f t="shared" si="4"/>
        <v>1778.2466082572998</v>
      </c>
      <c r="O164" s="12"/>
      <c r="P164">
        <v>0</v>
      </c>
      <c r="Q164" s="12">
        <v>713.90831899642899</v>
      </c>
    </row>
    <row r="165" spans="1:17" x14ac:dyDescent="0.2">
      <c r="A165" s="12" t="s">
        <v>36</v>
      </c>
      <c r="B165" s="12" t="s">
        <v>223</v>
      </c>
      <c r="C165" s="12">
        <v>50</v>
      </c>
      <c r="D165" s="12">
        <v>9</v>
      </c>
      <c r="E165" s="12">
        <v>5</v>
      </c>
      <c r="F165" s="12">
        <v>9</v>
      </c>
      <c r="G165" s="12">
        <v>511.18911910057</v>
      </c>
      <c r="H165" s="12">
        <v>748.64706677569802</v>
      </c>
      <c r="I165" s="32" t="s">
        <v>333</v>
      </c>
      <c r="J165" s="12">
        <v>820.83711695671002</v>
      </c>
      <c r="K165" s="12">
        <v>748.647066775697</v>
      </c>
      <c r="L165" s="38">
        <v>713.90831899642899</v>
      </c>
      <c r="M165" s="12"/>
      <c r="N165" s="12">
        <f t="shared" si="4"/>
        <v>309.64799785614002</v>
      </c>
      <c r="O165" s="12"/>
      <c r="P165">
        <v>0</v>
      </c>
      <c r="Q165" s="12">
        <v>36.798822879791203</v>
      </c>
    </row>
    <row r="166" spans="1:17" x14ac:dyDescent="0.2">
      <c r="A166" s="12" t="s">
        <v>36</v>
      </c>
      <c r="B166" s="12" t="s">
        <v>225</v>
      </c>
      <c r="C166" s="12">
        <v>50</v>
      </c>
      <c r="D166" s="12">
        <v>4</v>
      </c>
      <c r="E166" s="12">
        <v>2</v>
      </c>
      <c r="F166" s="12">
        <v>11</v>
      </c>
      <c r="G166" s="12">
        <v>376.86513280868502</v>
      </c>
      <c r="H166" s="12">
        <v>857.03541608793603</v>
      </c>
      <c r="I166" s="32" t="s">
        <v>333</v>
      </c>
      <c r="J166" s="12">
        <v>124.452033042907</v>
      </c>
      <c r="K166" s="12">
        <v>857.03541608793603</v>
      </c>
      <c r="L166" s="38">
        <v>36.798822879791203</v>
      </c>
      <c r="M166" s="12"/>
      <c r="N166" s="12">
        <f t="shared" si="4"/>
        <v>-252.41309976577801</v>
      </c>
      <c r="O166" s="12"/>
      <c r="P166">
        <f t="shared" si="3"/>
        <v>0</v>
      </c>
      <c r="Q166" s="12">
        <v>266.08877611160199</v>
      </c>
    </row>
    <row r="167" spans="1:17" x14ac:dyDescent="0.2">
      <c r="A167" s="12" t="s">
        <v>36</v>
      </c>
      <c r="B167" s="12" t="s">
        <v>226</v>
      </c>
      <c r="C167" s="12">
        <v>50</v>
      </c>
      <c r="D167" s="12">
        <v>7</v>
      </c>
      <c r="E167" s="12">
        <v>4</v>
      </c>
      <c r="F167" s="12">
        <v>9</v>
      </c>
      <c r="G167" s="12">
        <v>722.20647311210598</v>
      </c>
      <c r="H167" s="12">
        <v>728.449915009915</v>
      </c>
      <c r="I167" s="32" t="s">
        <v>333</v>
      </c>
      <c r="J167" s="12">
        <v>631.21969413757301</v>
      </c>
      <c r="K167" s="12">
        <v>728.449915009915</v>
      </c>
      <c r="L167" s="38">
        <v>266.08877611160199</v>
      </c>
      <c r="M167" s="12"/>
      <c r="N167" s="12">
        <f t="shared" si="4"/>
        <v>-90.986778974532967</v>
      </c>
      <c r="O167" s="12"/>
      <c r="P167">
        <f t="shared" si="3"/>
        <v>0</v>
      </c>
      <c r="Q167" s="12">
        <v>983.718487977981</v>
      </c>
    </row>
    <row r="168" spans="1:17" x14ac:dyDescent="0.2">
      <c r="A168" s="12" t="s">
        <v>36</v>
      </c>
      <c r="B168" s="12" t="s">
        <v>228</v>
      </c>
      <c r="C168" s="12">
        <v>50</v>
      </c>
      <c r="D168" s="12">
        <v>9</v>
      </c>
      <c r="E168" s="12">
        <v>5</v>
      </c>
      <c r="F168" s="12">
        <v>9</v>
      </c>
      <c r="G168" s="12">
        <v>900.62318515777497</v>
      </c>
      <c r="H168" s="12">
        <v>788.15119748953202</v>
      </c>
      <c r="I168" s="32" t="s">
        <v>333</v>
      </c>
      <c r="J168" s="12">
        <v>10800</v>
      </c>
      <c r="K168" s="12">
        <v>788.27</v>
      </c>
      <c r="L168" s="38">
        <v>983.718487977981</v>
      </c>
      <c r="M168" s="12"/>
      <c r="N168" s="12">
        <f t="shared" si="4"/>
        <v>9899.3768148422241</v>
      </c>
      <c r="O168" s="12"/>
      <c r="P168">
        <f t="shared" si="3"/>
        <v>0.1188025104679582</v>
      </c>
      <c r="Q168" s="12">
        <v>47.350358963012603</v>
      </c>
    </row>
    <row r="169" spans="1:17" x14ac:dyDescent="0.2">
      <c r="A169" s="12" t="s">
        <v>36</v>
      </c>
      <c r="B169" s="12" t="s">
        <v>231</v>
      </c>
      <c r="C169" s="12">
        <v>50</v>
      </c>
      <c r="D169" s="12">
        <v>4</v>
      </c>
      <c r="E169" s="12">
        <v>2</v>
      </c>
      <c r="F169" s="12">
        <v>11</v>
      </c>
      <c r="G169" s="12">
        <v>10877.574491023999</v>
      </c>
      <c r="H169" s="12">
        <v>886.57651776662601</v>
      </c>
      <c r="I169" s="32">
        <v>2.0706348530553201E-2</v>
      </c>
      <c r="J169" s="12">
        <v>1343.6054229736301</v>
      </c>
      <c r="K169" s="12">
        <v>734.05</v>
      </c>
      <c r="L169" s="38">
        <v>47.350358963012603</v>
      </c>
      <c r="M169" s="12"/>
      <c r="N169" s="12"/>
      <c r="O169" s="12"/>
      <c r="P169">
        <f t="shared" si="3"/>
        <v>-152.52651776662606</v>
      </c>
      <c r="Q169" s="12">
        <v>425.215472221374</v>
      </c>
    </row>
    <row r="170" spans="1:17" x14ac:dyDescent="0.2">
      <c r="A170" s="12"/>
      <c r="B170" s="12" t="s">
        <v>232</v>
      </c>
      <c r="C170" s="12"/>
      <c r="D170" s="12"/>
      <c r="E170" s="12"/>
      <c r="F170" s="12"/>
      <c r="G170" s="12">
        <v>10855.67</v>
      </c>
      <c r="H170" s="12">
        <v>830.03670899999997</v>
      </c>
      <c r="I170" s="32">
        <v>8.6999999999999994E-3</v>
      </c>
      <c r="J170" s="12">
        <v>1338.4831300000001</v>
      </c>
      <c r="K170" s="12">
        <v>830.03670880444804</v>
      </c>
      <c r="L170" s="38">
        <v>425.215472221374</v>
      </c>
      <c r="M170" s="12"/>
      <c r="N170" s="12"/>
      <c r="O170" s="12"/>
      <c r="P170">
        <v>0</v>
      </c>
      <c r="Q170" s="12">
        <v>825.66601490974404</v>
      </c>
    </row>
    <row r="171" spans="1:17" x14ac:dyDescent="0.2">
      <c r="A171" s="12" t="s">
        <v>36</v>
      </c>
      <c r="B171" s="12" t="s">
        <v>235</v>
      </c>
      <c r="C171" s="12">
        <v>50</v>
      </c>
      <c r="D171" s="12">
        <v>9</v>
      </c>
      <c r="E171" s="12">
        <v>5</v>
      </c>
      <c r="F171" s="12">
        <v>9</v>
      </c>
      <c r="G171" s="12">
        <v>10855.670577049201</v>
      </c>
      <c r="H171" s="12">
        <v>830.03670880444804</v>
      </c>
      <c r="I171" s="32">
        <v>8.6935173221641699E-3</v>
      </c>
      <c r="J171" s="12">
        <v>12879.2572638988</v>
      </c>
      <c r="K171" s="12">
        <v>869.92117614916594</v>
      </c>
      <c r="L171" s="38">
        <v>825.66601490974404</v>
      </c>
      <c r="M171" s="12"/>
      <c r="N171" s="12"/>
      <c r="O171" s="12"/>
      <c r="P171">
        <f t="shared" si="3"/>
        <v>39.884467344717905</v>
      </c>
      <c r="Q171" s="12">
        <v>103.843899965286</v>
      </c>
    </row>
    <row r="172" spans="1:17" x14ac:dyDescent="0.2">
      <c r="A172" s="12" t="s">
        <v>36</v>
      </c>
      <c r="B172" s="12" t="s">
        <v>237</v>
      </c>
      <c r="C172" s="12">
        <v>50</v>
      </c>
      <c r="D172" s="12">
        <v>4</v>
      </c>
      <c r="E172" s="12">
        <v>2</v>
      </c>
      <c r="F172" s="12">
        <v>10</v>
      </c>
      <c r="G172" s="12">
        <v>10858.3336699008</v>
      </c>
      <c r="H172" s="12">
        <v>869.92117614916594</v>
      </c>
      <c r="I172" s="32">
        <v>1.55810447145758E-2</v>
      </c>
      <c r="J172" s="12">
        <v>3257.3341419696799</v>
      </c>
      <c r="K172" s="12">
        <v>766.43645298435899</v>
      </c>
      <c r="L172" s="38">
        <v>103.843899965286</v>
      </c>
      <c r="M172" s="12"/>
      <c r="N172" s="12"/>
      <c r="O172" s="12"/>
      <c r="P172">
        <f t="shared" si="3"/>
        <v>-103.48472316480695</v>
      </c>
      <c r="Q172" s="12">
        <v>239.783228874206</v>
      </c>
    </row>
    <row r="173" spans="1:17" x14ac:dyDescent="0.2">
      <c r="A173" s="12" t="s">
        <v>36</v>
      </c>
      <c r="B173" s="12" t="s">
        <v>240</v>
      </c>
      <c r="C173" s="12">
        <v>50</v>
      </c>
      <c r="D173" s="12">
        <v>7</v>
      </c>
      <c r="E173" s="12">
        <v>4</v>
      </c>
      <c r="F173" s="12">
        <v>10</v>
      </c>
      <c r="G173" s="12">
        <v>10862.238692998801</v>
      </c>
      <c r="H173" s="12">
        <v>766.43645298435899</v>
      </c>
      <c r="I173" s="32">
        <v>1.1326037637941299E-2</v>
      </c>
      <c r="J173" s="12">
        <v>1489.8234879970501</v>
      </c>
      <c r="K173" s="12">
        <v>877.96742772697405</v>
      </c>
      <c r="L173" s="38">
        <v>239.783228874206</v>
      </c>
      <c r="M173" s="12"/>
      <c r="N173" s="12"/>
      <c r="O173" s="12"/>
      <c r="P173">
        <f t="shared" si="3"/>
        <v>111.53097474261506</v>
      </c>
      <c r="Q173" s="12">
        <v>752.48421216011002</v>
      </c>
    </row>
    <row r="174" spans="1:17" x14ac:dyDescent="0.2">
      <c r="A174" s="12"/>
      <c r="B174" s="12" t="s">
        <v>241</v>
      </c>
      <c r="C174" s="12"/>
      <c r="D174" s="12"/>
      <c r="E174" s="12"/>
      <c r="F174" s="12"/>
      <c r="G174" s="12">
        <v>10800</v>
      </c>
      <c r="H174" s="12">
        <v>935.47080000000005</v>
      </c>
      <c r="I174" s="32">
        <v>2.5600000000000001E-2</v>
      </c>
      <c r="J174" s="12">
        <v>956.45193290710404</v>
      </c>
      <c r="K174" s="12">
        <v>930.55575742158896</v>
      </c>
      <c r="L174" s="38">
        <v>752.48421216011002</v>
      </c>
      <c r="M174" s="12"/>
      <c r="N174" s="12"/>
      <c r="O174" s="12"/>
      <c r="P174">
        <f t="shared" si="3"/>
        <v>-4.9150425784110894</v>
      </c>
      <c r="Q174" s="12">
        <v>58.386359930038402</v>
      </c>
    </row>
    <row r="175" spans="1:17" x14ac:dyDescent="0.2">
      <c r="A175" s="12"/>
      <c r="B175" s="12" t="s">
        <v>243</v>
      </c>
      <c r="C175" s="12"/>
      <c r="D175" s="12"/>
      <c r="E175" s="12"/>
      <c r="F175" s="12"/>
      <c r="G175" s="12">
        <v>10800</v>
      </c>
      <c r="H175" s="12">
        <v>739.9307</v>
      </c>
      <c r="I175" s="32">
        <v>2.5999999999999999E-2</v>
      </c>
      <c r="J175" s="12">
        <v>2558.4440679550098</v>
      </c>
      <c r="K175" s="12">
        <v>731.89282430024002</v>
      </c>
      <c r="L175" s="38">
        <v>58.386359930038402</v>
      </c>
      <c r="M175" s="12"/>
      <c r="N175" s="12"/>
      <c r="O175" s="12"/>
      <c r="P175">
        <f t="shared" si="3"/>
        <v>-8.0378756997599794</v>
      </c>
      <c r="Q175" s="12">
        <v>251.100109100341</v>
      </c>
    </row>
    <row r="176" spans="1:17" x14ac:dyDescent="0.2">
      <c r="A176" s="12"/>
      <c r="B176" s="12" t="s">
        <v>244</v>
      </c>
      <c r="C176" s="12"/>
      <c r="D176" s="12"/>
      <c r="E176" s="12"/>
      <c r="F176" s="12"/>
      <c r="G176" s="12">
        <v>10800</v>
      </c>
      <c r="H176" s="12">
        <v>828.38599999999997</v>
      </c>
      <c r="I176" s="32">
        <v>1.43E-2</v>
      </c>
      <c r="J176" s="12">
        <v>1679.50777387619</v>
      </c>
      <c r="K176" s="12">
        <v>827.49230972810199</v>
      </c>
      <c r="L176" s="38">
        <v>251.100109100341</v>
      </c>
      <c r="M176" s="12"/>
      <c r="N176" s="12"/>
      <c r="O176" s="12"/>
      <c r="P176">
        <f t="shared" si="3"/>
        <v>-0.89369027189798089</v>
      </c>
      <c r="Q176" s="12">
        <v>900.53038096427895</v>
      </c>
    </row>
    <row r="177" spans="1:17" x14ac:dyDescent="0.2">
      <c r="A177" s="12"/>
      <c r="B177" s="12" t="s">
        <v>245</v>
      </c>
      <c r="C177" s="12"/>
      <c r="D177" s="12"/>
      <c r="E177" s="12"/>
      <c r="F177" s="12"/>
      <c r="G177" s="12">
        <v>10800</v>
      </c>
      <c r="H177" s="12">
        <v>871.51679999999999</v>
      </c>
      <c r="I177" s="32">
        <v>1.9300000000000001E-2</v>
      </c>
      <c r="J177" s="12">
        <v>1528.6050860881801</v>
      </c>
      <c r="K177" s="12">
        <v>870.25650037795697</v>
      </c>
      <c r="L177" s="38">
        <v>900.53038096427895</v>
      </c>
      <c r="M177" s="12"/>
      <c r="N177" s="12"/>
      <c r="O177" s="12"/>
      <c r="P177">
        <f t="shared" si="3"/>
        <v>-1.2602996220430214</v>
      </c>
      <c r="Q177" s="12">
        <v>115.010191202163</v>
      </c>
    </row>
    <row r="178" spans="1:17" x14ac:dyDescent="0.2">
      <c r="A178" s="12"/>
      <c r="B178" s="12" t="s">
        <v>247</v>
      </c>
      <c r="C178" s="12"/>
      <c r="D178" s="12"/>
      <c r="E178" s="12"/>
      <c r="F178" s="12"/>
      <c r="G178" s="12">
        <v>10800</v>
      </c>
      <c r="H178" s="12">
        <v>734.99599999999998</v>
      </c>
      <c r="I178" s="32">
        <v>1.67E-2</v>
      </c>
      <c r="J178" s="12">
        <v>1609.8387567996899</v>
      </c>
      <c r="K178" s="12">
        <v>734.23864775306902</v>
      </c>
      <c r="L178" s="38">
        <v>115.010191202163</v>
      </c>
      <c r="M178" s="12"/>
      <c r="N178" s="12"/>
      <c r="O178" s="12"/>
      <c r="P178">
        <f t="shared" si="3"/>
        <v>-0.7573522469309637</v>
      </c>
      <c r="Q178" s="12">
        <v>264.609232187271</v>
      </c>
    </row>
    <row r="179" spans="1:17" x14ac:dyDescent="0.2">
      <c r="A179" s="12" t="s">
        <v>36</v>
      </c>
      <c r="B179" s="12" t="s">
        <v>249</v>
      </c>
      <c r="C179" s="12">
        <v>50</v>
      </c>
      <c r="D179" s="12">
        <v>9</v>
      </c>
      <c r="E179" s="12">
        <v>5</v>
      </c>
      <c r="F179" s="12">
        <v>9</v>
      </c>
      <c r="G179" s="12">
        <v>10159.1320991516</v>
      </c>
      <c r="H179" s="12">
        <v>774.31846719494104</v>
      </c>
      <c r="I179" s="32" t="s">
        <v>333</v>
      </c>
      <c r="J179" s="12">
        <v>5163.8449909686997</v>
      </c>
      <c r="K179" s="12">
        <v>774.31846719494104</v>
      </c>
      <c r="L179" s="38">
        <v>264.609232187271</v>
      </c>
      <c r="M179" s="12"/>
      <c r="N179" s="12">
        <f t="shared" si="4"/>
        <v>-4995.2871081829007</v>
      </c>
      <c r="O179" s="12"/>
      <c r="P179">
        <f t="shared" si="3"/>
        <v>0</v>
      </c>
      <c r="Q179" s="12">
        <v>912.74249386787403</v>
      </c>
    </row>
    <row r="180" spans="1:17" x14ac:dyDescent="0.2">
      <c r="A180" s="12"/>
      <c r="B180" s="12" t="s">
        <v>251</v>
      </c>
      <c r="C180" s="12"/>
      <c r="D180" s="12"/>
      <c r="E180" s="12"/>
      <c r="F180" s="12"/>
      <c r="G180" s="12">
        <v>10800</v>
      </c>
      <c r="H180" s="12">
        <v>884.61249999999995</v>
      </c>
      <c r="I180" s="32">
        <v>2.9100000000000001E-2</v>
      </c>
      <c r="J180" s="12">
        <v>531.19819402694702</v>
      </c>
      <c r="K180" s="12">
        <v>887.24930452847502</v>
      </c>
      <c r="L180" s="38">
        <v>912.74249386787403</v>
      </c>
      <c r="M180" s="12"/>
      <c r="N180" s="12"/>
      <c r="O180" s="12"/>
      <c r="P180">
        <f t="shared" si="3"/>
        <v>2.6368045284750679</v>
      </c>
      <c r="Q180" s="12">
        <v>36.816446065902703</v>
      </c>
    </row>
    <row r="181" spans="1:17" x14ac:dyDescent="0.2">
      <c r="A181" s="12"/>
      <c r="B181" s="12" t="s">
        <v>253</v>
      </c>
      <c r="C181" s="12"/>
      <c r="D181" s="12"/>
      <c r="E181" s="12"/>
      <c r="F181" s="12"/>
      <c r="G181" s="12">
        <v>10800</v>
      </c>
      <c r="H181" s="12">
        <v>742.21630000000005</v>
      </c>
      <c r="I181" s="32">
        <v>2.0299999999999999E-2</v>
      </c>
      <c r="J181" s="12">
        <v>10800</v>
      </c>
      <c r="K181" s="12">
        <v>742.21630000000005</v>
      </c>
      <c r="L181" s="38">
        <v>36.816446065902703</v>
      </c>
      <c r="M181" s="12"/>
      <c r="N181" s="12"/>
      <c r="O181" s="12"/>
      <c r="P181">
        <f t="shared" si="3"/>
        <v>0</v>
      </c>
      <c r="Q181" s="12">
        <v>512.87345790863003</v>
      </c>
    </row>
    <row r="182" spans="1:17" x14ac:dyDescent="0.2">
      <c r="A182" s="12"/>
      <c r="B182" s="12" t="s">
        <v>255</v>
      </c>
      <c r="C182" s="12"/>
      <c r="D182" s="12"/>
      <c r="E182" s="12"/>
      <c r="F182" s="12"/>
      <c r="G182" s="12">
        <v>10800</v>
      </c>
      <c r="H182" s="12">
        <v>844.19179999999994</v>
      </c>
      <c r="I182" s="32">
        <v>2.4500000000000001E-2</v>
      </c>
      <c r="J182" s="12">
        <v>7179.1764388084403</v>
      </c>
      <c r="K182" s="12">
        <v>838.64232118684595</v>
      </c>
      <c r="L182" s="38">
        <v>512.87345790863003</v>
      </c>
      <c r="M182" s="12"/>
      <c r="N182" s="12">
        <f t="shared" si="4"/>
        <v>-3620.8235611915597</v>
      </c>
      <c r="O182" s="12"/>
      <c r="P182">
        <f t="shared" si="3"/>
        <v>-5.5494788131539963</v>
      </c>
      <c r="Q182" s="12">
        <v>937.27122402191105</v>
      </c>
    </row>
    <row r="183" spans="1:17" x14ac:dyDescent="0.2">
      <c r="A183" s="12" t="s">
        <v>36</v>
      </c>
      <c r="B183" s="12" t="s">
        <v>257</v>
      </c>
      <c r="C183" s="12">
        <v>50</v>
      </c>
      <c r="D183" s="12">
        <v>4</v>
      </c>
      <c r="E183" s="12">
        <v>2</v>
      </c>
      <c r="F183" s="12">
        <v>11</v>
      </c>
      <c r="G183" s="12">
        <v>9781.1679170131592</v>
      </c>
      <c r="H183" s="12">
        <v>830.37386602136405</v>
      </c>
      <c r="I183" s="32" t="s">
        <v>333</v>
      </c>
      <c r="J183" s="12">
        <v>8653.2601511478406</v>
      </c>
      <c r="K183" s="12">
        <v>830.37386602136405</v>
      </c>
      <c r="L183" s="38">
        <v>937.27122402191105</v>
      </c>
      <c r="M183" s="12"/>
      <c r="N183" s="12">
        <f t="shared" si="4"/>
        <v>-1127.9077658653187</v>
      </c>
      <c r="O183" s="12"/>
      <c r="P183">
        <f t="shared" si="3"/>
        <v>0</v>
      </c>
      <c r="Q183" s="12">
        <v>106.348901987075</v>
      </c>
    </row>
    <row r="184" spans="1:17" x14ac:dyDescent="0.2">
      <c r="A184" s="12" t="s">
        <v>36</v>
      </c>
      <c r="B184" s="12" t="s">
        <v>260</v>
      </c>
      <c r="C184" s="12">
        <v>50</v>
      </c>
      <c r="D184" s="12">
        <v>7</v>
      </c>
      <c r="E184" s="12">
        <v>4</v>
      </c>
      <c r="F184" s="12">
        <v>9</v>
      </c>
      <c r="G184" s="12">
        <v>10854.5064008235</v>
      </c>
      <c r="H184" s="12">
        <v>727.87701481212105</v>
      </c>
      <c r="I184" s="32">
        <v>1.78226295629288E-2</v>
      </c>
      <c r="J184" s="12">
        <v>10800</v>
      </c>
      <c r="K184" s="12">
        <v>725.26</v>
      </c>
      <c r="L184" s="38">
        <v>106.348901987075</v>
      </c>
      <c r="M184" s="12"/>
      <c r="N184" s="12"/>
      <c r="O184" s="12"/>
      <c r="P184">
        <f t="shared" si="3"/>
        <v>-2.6170148121210559</v>
      </c>
      <c r="Q184" s="12">
        <v>1738.4578030109401</v>
      </c>
    </row>
    <row r="185" spans="1:17" x14ac:dyDescent="0.2">
      <c r="A185" s="12" t="s">
        <v>36</v>
      </c>
      <c r="B185" s="12" t="s">
        <v>261</v>
      </c>
      <c r="C185" s="12">
        <v>50</v>
      </c>
      <c r="D185" s="12">
        <v>9</v>
      </c>
      <c r="E185" s="12">
        <v>5</v>
      </c>
      <c r="F185" s="12">
        <v>9</v>
      </c>
      <c r="G185" s="12">
        <v>10856.026542186701</v>
      </c>
      <c r="H185" s="12">
        <v>776.71058121522697</v>
      </c>
      <c r="I185" s="32">
        <v>7.2908607724306903E-3</v>
      </c>
      <c r="J185" s="12">
        <v>10800</v>
      </c>
      <c r="K185" s="12">
        <v>780.15</v>
      </c>
      <c r="L185" s="38">
        <v>1738.4578030109401</v>
      </c>
      <c r="N185" s="12"/>
      <c r="O185" s="12"/>
      <c r="P185">
        <f t="shared" si="3"/>
        <v>3.4394187847730109</v>
      </c>
      <c r="Q185" s="12">
        <v>1063.59767603874</v>
      </c>
    </row>
    <row r="186" spans="1:17" x14ac:dyDescent="0.2">
      <c r="A186" s="12" t="s">
        <v>36</v>
      </c>
      <c r="B186" s="12" t="s">
        <v>262</v>
      </c>
      <c r="C186" s="12">
        <v>50</v>
      </c>
      <c r="D186" s="12">
        <v>4</v>
      </c>
      <c r="E186" s="12">
        <v>2</v>
      </c>
      <c r="F186" s="12">
        <v>11</v>
      </c>
      <c r="G186" s="12">
        <v>3714.7494790554001</v>
      </c>
      <c r="H186" s="12">
        <v>869.40557456206898</v>
      </c>
      <c r="I186" s="32" t="s">
        <v>333</v>
      </c>
      <c r="J186" s="12">
        <v>7604.07176208496</v>
      </c>
      <c r="K186" s="12">
        <v>869.40557456206898</v>
      </c>
      <c r="L186" s="38">
        <v>1063.59767603874</v>
      </c>
      <c r="M186" s="12"/>
      <c r="N186" s="12">
        <f t="shared" si="4"/>
        <v>3889.3222830295599</v>
      </c>
      <c r="O186" s="12"/>
      <c r="P186">
        <f t="shared" si="3"/>
        <v>0</v>
      </c>
      <c r="Q186" s="12">
        <v>109.764934778213</v>
      </c>
    </row>
    <row r="187" spans="1:17" x14ac:dyDescent="0.2">
      <c r="A187" s="12" t="s">
        <v>36</v>
      </c>
      <c r="B187" s="12" t="s">
        <v>263</v>
      </c>
      <c r="C187" s="12">
        <v>50</v>
      </c>
      <c r="D187" s="12">
        <v>7</v>
      </c>
      <c r="E187" s="12">
        <v>4</v>
      </c>
      <c r="F187" s="12">
        <v>10</v>
      </c>
      <c r="G187" s="12">
        <v>10867.433006048201</v>
      </c>
      <c r="H187" s="12">
        <v>720.65131037196397</v>
      </c>
      <c r="I187" s="32">
        <v>2.9469145521683398E-3</v>
      </c>
      <c r="J187" s="12">
        <v>1506.7996280193299</v>
      </c>
      <c r="K187" s="12">
        <v>720.65131037196397</v>
      </c>
      <c r="L187" s="38">
        <v>109.764934778213</v>
      </c>
      <c r="M187" s="12"/>
      <c r="N187" s="12"/>
      <c r="O187" s="12"/>
      <c r="P187">
        <f t="shared" si="3"/>
        <v>0</v>
      </c>
      <c r="Q187" s="12">
        <v>629.590989112854</v>
      </c>
    </row>
    <row r="188" spans="1:17" x14ac:dyDescent="0.2">
      <c r="A188" s="12" t="s">
        <v>36</v>
      </c>
      <c r="B188" s="12" t="s">
        <v>264</v>
      </c>
      <c r="C188" s="12">
        <v>50</v>
      </c>
      <c r="D188" s="12">
        <v>9</v>
      </c>
      <c r="E188" s="12">
        <v>5</v>
      </c>
      <c r="F188" s="12">
        <v>9</v>
      </c>
      <c r="G188" s="12">
        <v>10853.496438980101</v>
      </c>
      <c r="H188" s="12">
        <v>791.668749167903</v>
      </c>
      <c r="I188" s="32">
        <v>2.43408937183494E-2</v>
      </c>
      <c r="J188" s="12">
        <v>14052.79</v>
      </c>
      <c r="K188" s="12">
        <v>784.76</v>
      </c>
      <c r="L188" s="38">
        <v>629.590989112854</v>
      </c>
      <c r="M188" s="12"/>
      <c r="N188" s="12"/>
      <c r="O188" s="12"/>
      <c r="P188">
        <f t="shared" si="3"/>
        <v>-6.9087491679030109</v>
      </c>
      <c r="Q188" s="12">
        <v>1193.88590502738</v>
      </c>
    </row>
    <row r="189" spans="1:17" x14ac:dyDescent="0.2">
      <c r="A189" s="12" t="s">
        <v>36</v>
      </c>
      <c r="B189" s="12" t="s">
        <v>341</v>
      </c>
      <c r="C189" s="12">
        <v>50</v>
      </c>
      <c r="D189" s="12">
        <v>4</v>
      </c>
      <c r="E189" s="12">
        <v>2</v>
      </c>
      <c r="F189" s="12">
        <v>11</v>
      </c>
      <c r="G189" s="12">
        <v>10854.709725856699</v>
      </c>
      <c r="H189" s="12">
        <v>843.81242602816201</v>
      </c>
      <c r="I189" s="32">
        <v>5.26270058318596E-3</v>
      </c>
      <c r="J189" s="12">
        <v>1356.5592730000001</v>
      </c>
      <c r="K189" s="12">
        <v>845.06</v>
      </c>
      <c r="L189" s="38">
        <v>1193.88590502738</v>
      </c>
      <c r="M189" s="12"/>
      <c r="N189" s="12"/>
      <c r="O189" s="12"/>
      <c r="P189">
        <f t="shared" si="3"/>
        <v>1.2475739718379373</v>
      </c>
      <c r="Q189" s="12">
        <v>102.163115024566</v>
      </c>
    </row>
    <row r="190" spans="1:17" x14ac:dyDescent="0.2">
      <c r="A190" s="12" t="s">
        <v>36</v>
      </c>
      <c r="B190" s="12" t="s">
        <v>265</v>
      </c>
      <c r="C190" s="12">
        <v>50</v>
      </c>
      <c r="D190" s="12">
        <v>7</v>
      </c>
      <c r="E190" s="12">
        <v>4</v>
      </c>
      <c r="F190" s="12">
        <v>10</v>
      </c>
      <c r="G190" s="12">
        <v>10862.4484231472</v>
      </c>
      <c r="H190" s="12">
        <v>703.13046942794199</v>
      </c>
      <c r="I190" s="32">
        <v>1.30380436997522E-2</v>
      </c>
      <c r="J190" s="12">
        <v>1362.24120903015</v>
      </c>
      <c r="K190" s="12">
        <v>703.13046942794199</v>
      </c>
      <c r="L190" s="38">
        <v>102.163115024566</v>
      </c>
      <c r="M190" s="12"/>
      <c r="N190" s="12"/>
      <c r="O190" s="12"/>
      <c r="P190">
        <f t="shared" si="3"/>
        <v>0</v>
      </c>
      <c r="Q190" s="12">
        <v>278.01465582847499</v>
      </c>
    </row>
    <row r="191" spans="1:17" x14ac:dyDescent="0.2">
      <c r="A191" s="12" t="s">
        <v>36</v>
      </c>
      <c r="B191" s="12" t="s">
        <v>267</v>
      </c>
      <c r="C191" s="12">
        <v>50</v>
      </c>
      <c r="D191" s="12">
        <v>9</v>
      </c>
      <c r="E191" s="12">
        <v>5</v>
      </c>
      <c r="F191" s="12">
        <v>10</v>
      </c>
      <c r="G191" s="12">
        <v>9670.5748271942102</v>
      </c>
      <c r="H191" s="12">
        <v>786.50646648842906</v>
      </c>
      <c r="I191" s="32" t="s">
        <v>333</v>
      </c>
      <c r="J191" s="12">
        <v>2301.6268007755202</v>
      </c>
      <c r="K191" s="12">
        <v>786.50646648842906</v>
      </c>
      <c r="L191" s="38">
        <v>278.01465582847499</v>
      </c>
      <c r="M191" s="12"/>
      <c r="N191" s="12">
        <f t="shared" si="4"/>
        <v>-7368.9480264186896</v>
      </c>
      <c r="O191" s="12"/>
      <c r="P191">
        <f t="shared" si="3"/>
        <v>0</v>
      </c>
      <c r="Q191" s="12">
        <v>1133.6861898899001</v>
      </c>
    </row>
    <row r="192" spans="1:17" x14ac:dyDescent="0.2">
      <c r="A192" s="12" t="s">
        <v>36</v>
      </c>
      <c r="B192" s="12" t="s">
        <v>268</v>
      </c>
      <c r="C192" s="12">
        <v>50</v>
      </c>
      <c r="D192" s="12">
        <v>4</v>
      </c>
      <c r="E192" s="12">
        <v>2</v>
      </c>
      <c r="F192" s="12">
        <v>11</v>
      </c>
      <c r="G192" s="12">
        <v>10858.153781175601</v>
      </c>
      <c r="H192" s="12">
        <v>852.93405264129797</v>
      </c>
      <c r="I192" s="32">
        <v>9.0622972254956798E-3</v>
      </c>
      <c r="J192" s="12">
        <v>10800</v>
      </c>
      <c r="K192" s="12">
        <v>859.18</v>
      </c>
      <c r="L192" s="38">
        <v>1133.6861898899001</v>
      </c>
      <c r="M192" s="12"/>
      <c r="N192" s="12"/>
      <c r="O192" s="12"/>
      <c r="P192">
        <f t="shared" si="3"/>
        <v>6.2459473587019829</v>
      </c>
      <c r="Q192" s="12">
        <v>154.46574521064699</v>
      </c>
    </row>
    <row r="193" spans="1:17" x14ac:dyDescent="0.2">
      <c r="A193" s="12" t="s">
        <v>36</v>
      </c>
      <c r="B193" s="12" t="s">
        <v>270</v>
      </c>
      <c r="C193" s="12">
        <v>50</v>
      </c>
      <c r="D193" s="12">
        <v>7</v>
      </c>
      <c r="E193" s="12">
        <v>4</v>
      </c>
      <c r="F193" s="12">
        <v>10</v>
      </c>
      <c r="G193" s="12">
        <v>10853.8945968151</v>
      </c>
      <c r="H193" s="12">
        <v>743.15016536224005</v>
      </c>
      <c r="I193" s="32">
        <v>5.3371953026902803E-3</v>
      </c>
      <c r="J193" s="12">
        <v>1038.0517539978</v>
      </c>
      <c r="K193" s="12">
        <v>743.15016536224005</v>
      </c>
      <c r="L193" s="38">
        <v>154.46574521064699</v>
      </c>
      <c r="M193" s="12"/>
      <c r="N193" s="12"/>
      <c r="O193" s="12"/>
      <c r="P193">
        <f t="shared" si="3"/>
        <v>0</v>
      </c>
      <c r="Q193" s="12">
        <v>628.75251507759003</v>
      </c>
    </row>
    <row r="194" spans="1:17" x14ac:dyDescent="0.2">
      <c r="A194" s="12" t="s">
        <v>36</v>
      </c>
      <c r="B194" s="12" t="s">
        <v>271</v>
      </c>
      <c r="C194" s="12">
        <v>50</v>
      </c>
      <c r="D194" s="12">
        <v>9</v>
      </c>
      <c r="E194" s="12">
        <v>5</v>
      </c>
      <c r="F194" s="12">
        <v>9</v>
      </c>
      <c r="G194" s="12">
        <v>3856.7156970500901</v>
      </c>
      <c r="H194" s="12">
        <v>714.38464263870696</v>
      </c>
      <c r="I194" s="32" t="s">
        <v>333</v>
      </c>
      <c r="J194" s="12">
        <v>9566.4490361213593</v>
      </c>
      <c r="K194" s="12">
        <v>714.38464263870696</v>
      </c>
      <c r="L194" s="38">
        <v>628.75251507759003</v>
      </c>
      <c r="M194" s="12"/>
      <c r="N194" s="12">
        <f t="shared" si="4"/>
        <v>5709.7333390712693</v>
      </c>
      <c r="O194" s="12"/>
      <c r="P194">
        <f t="shared" si="3"/>
        <v>0</v>
      </c>
      <c r="Q194" s="12">
        <v>1121.5345880985201</v>
      </c>
    </row>
    <row r="195" spans="1:17" x14ac:dyDescent="0.2">
      <c r="A195" s="12" t="s">
        <v>36</v>
      </c>
      <c r="B195" s="12" t="s">
        <v>273</v>
      </c>
      <c r="C195" s="12">
        <v>50</v>
      </c>
      <c r="D195" s="12">
        <v>4</v>
      </c>
      <c r="E195" s="12">
        <v>2</v>
      </c>
      <c r="F195" s="12">
        <v>11</v>
      </c>
      <c r="G195" s="12">
        <v>10860.955119132899</v>
      </c>
      <c r="H195" s="12">
        <v>843.66914797906304</v>
      </c>
      <c r="I195" s="32">
        <v>7.8825030778574504E-3</v>
      </c>
      <c r="J195" s="12">
        <v>9530.2205489999997</v>
      </c>
      <c r="K195" s="12">
        <v>843.66914797906202</v>
      </c>
      <c r="L195" s="38">
        <v>1121.5345880985201</v>
      </c>
      <c r="M195" s="12"/>
      <c r="N195" s="12"/>
      <c r="O195" s="12"/>
      <c r="P195">
        <v>0</v>
      </c>
      <c r="Q195" s="12">
        <v>37.171833992004302</v>
      </c>
    </row>
    <row r="196" spans="1:17" x14ac:dyDescent="0.2">
      <c r="A196" s="12" t="s">
        <v>36</v>
      </c>
      <c r="B196" s="12" t="s">
        <v>275</v>
      </c>
      <c r="C196" s="12">
        <v>50</v>
      </c>
      <c r="D196" s="12">
        <v>7</v>
      </c>
      <c r="E196" s="12">
        <v>4</v>
      </c>
      <c r="F196" s="12">
        <v>10</v>
      </c>
      <c r="G196" s="12">
        <v>10853.498812198601</v>
      </c>
      <c r="H196" s="12">
        <v>735.30560169072999</v>
      </c>
      <c r="I196" s="32">
        <v>8.0911183287756608E-3</v>
      </c>
      <c r="J196" s="12">
        <v>13512.231292963001</v>
      </c>
      <c r="K196" s="12">
        <v>734.29754159240201</v>
      </c>
      <c r="L196" s="38">
        <v>37.171833992004302</v>
      </c>
      <c r="M196" s="12"/>
      <c r="N196" s="12"/>
      <c r="O196" s="12"/>
      <c r="P196">
        <f t="shared" si="3"/>
        <v>-1.0080600983279737</v>
      </c>
      <c r="Q196" s="12">
        <v>444.91967201232899</v>
      </c>
    </row>
    <row r="197" spans="1:17" x14ac:dyDescent="0.2">
      <c r="A197" s="12"/>
      <c r="B197" s="12" t="s">
        <v>277</v>
      </c>
      <c r="C197" s="12"/>
      <c r="D197" s="12"/>
      <c r="E197" s="12"/>
      <c r="F197" s="12"/>
      <c r="G197" s="12">
        <v>10800</v>
      </c>
      <c r="H197" s="12">
        <v>869.98379999999997</v>
      </c>
      <c r="I197" s="32">
        <v>1.9400000000000001E-2</v>
      </c>
      <c r="J197" s="12">
        <v>10800</v>
      </c>
      <c r="K197" s="12">
        <v>871.17</v>
      </c>
      <c r="L197" s="38">
        <v>444.91967201232899</v>
      </c>
      <c r="M197" s="12"/>
      <c r="N197" s="12"/>
      <c r="O197" s="12"/>
      <c r="P197">
        <f t="shared" si="3"/>
        <v>1.1861999999999853</v>
      </c>
      <c r="Q197" s="12">
        <v>902.10776090621903</v>
      </c>
    </row>
    <row r="198" spans="1:17" x14ac:dyDescent="0.2">
      <c r="A198" s="12" t="s">
        <v>36</v>
      </c>
      <c r="B198" s="12" t="s">
        <v>278</v>
      </c>
      <c r="C198" s="12">
        <v>50</v>
      </c>
      <c r="D198" s="12">
        <v>4</v>
      </c>
      <c r="E198" s="12">
        <v>2</v>
      </c>
      <c r="F198" s="12">
        <v>11</v>
      </c>
      <c r="G198" s="12">
        <v>494.99742102622901</v>
      </c>
      <c r="H198" s="12">
        <v>858.58239070955904</v>
      </c>
      <c r="I198" s="32" t="s">
        <v>333</v>
      </c>
      <c r="J198" s="12">
        <v>79.270905017852698</v>
      </c>
      <c r="K198" s="12">
        <v>859.36577608925097</v>
      </c>
      <c r="L198" s="38">
        <v>902.10776090621903</v>
      </c>
      <c r="M198" s="12"/>
      <c r="N198" s="12">
        <f t="shared" si="4"/>
        <v>-415.72651600837628</v>
      </c>
      <c r="O198" s="12"/>
      <c r="P198">
        <f t="shared" si="3"/>
        <v>0.78338537969193567</v>
      </c>
      <c r="Q198" s="12">
        <v>49.219033002853301</v>
      </c>
    </row>
    <row r="199" spans="1:17" x14ac:dyDescent="0.2">
      <c r="A199" s="12" t="s">
        <v>36</v>
      </c>
      <c r="B199" s="12" t="s">
        <v>279</v>
      </c>
      <c r="C199" s="12">
        <v>50</v>
      </c>
      <c r="D199" s="12">
        <v>7</v>
      </c>
      <c r="E199" s="12">
        <v>4</v>
      </c>
      <c r="F199" s="12">
        <v>9</v>
      </c>
      <c r="G199" s="12">
        <v>948.47175788879395</v>
      </c>
      <c r="H199" s="12">
        <v>733.04338323688103</v>
      </c>
      <c r="I199" s="32" t="s">
        <v>333</v>
      </c>
      <c r="J199" s="12">
        <v>10800</v>
      </c>
      <c r="K199" s="12">
        <v>740.32</v>
      </c>
      <c r="L199" s="38">
        <v>49.219033002853301</v>
      </c>
      <c r="M199" s="12"/>
      <c r="N199" s="12">
        <f t="shared" si="4"/>
        <v>9851.5282421112061</v>
      </c>
      <c r="P199">
        <f t="shared" si="3"/>
        <v>7.2766167631190228</v>
      </c>
      <c r="Q199" s="12">
        <v>413.758465766906</v>
      </c>
    </row>
    <row r="200" spans="1:17" x14ac:dyDescent="0.2">
      <c r="A200" s="12" t="s">
        <v>36</v>
      </c>
      <c r="B200" s="12" t="s">
        <v>280</v>
      </c>
      <c r="C200" s="12">
        <v>50</v>
      </c>
      <c r="D200" s="12">
        <v>9</v>
      </c>
      <c r="E200" s="12">
        <v>5</v>
      </c>
      <c r="F200" s="12">
        <v>9</v>
      </c>
      <c r="G200" s="12">
        <v>2061.32619285583</v>
      </c>
      <c r="H200" s="12">
        <v>798.30697006614696</v>
      </c>
      <c r="I200" s="32" t="s">
        <v>333</v>
      </c>
      <c r="J200" s="12">
        <v>2843.8377540111501</v>
      </c>
      <c r="K200" s="12">
        <v>798.30697006622404</v>
      </c>
      <c r="L200" s="38">
        <v>413.758465766906</v>
      </c>
      <c r="M200" s="12"/>
      <c r="N200" s="12">
        <f t="shared" si="4"/>
        <v>782.51156115532012</v>
      </c>
      <c r="P200">
        <v>0</v>
      </c>
      <c r="Q200" s="12">
        <v>758.35377097129799</v>
      </c>
    </row>
    <row r="201" spans="1:17" x14ac:dyDescent="0.2">
      <c r="A201" s="12" t="s">
        <v>36</v>
      </c>
      <c r="B201" s="12" t="s">
        <v>282</v>
      </c>
      <c r="C201" s="12">
        <v>50</v>
      </c>
      <c r="D201" s="12">
        <v>4</v>
      </c>
      <c r="E201" s="12">
        <v>2</v>
      </c>
      <c r="F201" s="12">
        <v>12</v>
      </c>
      <c r="G201" s="12">
        <v>2958.3331301212302</v>
      </c>
      <c r="H201" s="12">
        <v>945.78127214580604</v>
      </c>
      <c r="I201" s="32" t="s">
        <v>333</v>
      </c>
      <c r="J201" s="12">
        <v>10800</v>
      </c>
      <c r="K201" s="12">
        <v>945.78127214580604</v>
      </c>
      <c r="L201" s="38">
        <v>758.35377097129799</v>
      </c>
      <c r="M201" s="12"/>
      <c r="N201" s="12">
        <f t="shared" si="4"/>
        <v>7841.6668698787698</v>
      </c>
      <c r="P201">
        <f t="shared" si="3"/>
        <v>0</v>
      </c>
      <c r="Q201" s="12">
        <v>37.0300710201263</v>
      </c>
    </row>
    <row r="202" spans="1:17" x14ac:dyDescent="0.2">
      <c r="A202" s="12" t="s">
        <v>36</v>
      </c>
      <c r="B202" s="12" t="s">
        <v>285</v>
      </c>
      <c r="C202" s="12">
        <v>50</v>
      </c>
      <c r="D202" s="12">
        <v>7</v>
      </c>
      <c r="E202" s="12">
        <v>4</v>
      </c>
      <c r="F202" s="12">
        <v>10</v>
      </c>
      <c r="G202" s="12">
        <v>896.71701312065102</v>
      </c>
      <c r="H202" s="12">
        <v>733.06895306761999</v>
      </c>
      <c r="I202" s="32" t="s">
        <v>333</v>
      </c>
      <c r="J202" s="12">
        <v>3791.77231717109</v>
      </c>
      <c r="K202" s="12">
        <v>733.06895306761999</v>
      </c>
      <c r="L202" s="38">
        <v>37.0300710201263</v>
      </c>
      <c r="M202" s="12"/>
      <c r="N202" s="12">
        <f t="shared" si="4"/>
        <v>2895.0553040504392</v>
      </c>
      <c r="P202">
        <f t="shared" si="3"/>
        <v>0</v>
      </c>
      <c r="Q202" s="12">
        <v>189.846195936203</v>
      </c>
    </row>
    <row r="203" spans="1:17" x14ac:dyDescent="0.2">
      <c r="A203" s="12" t="s">
        <v>36</v>
      </c>
      <c r="B203" s="12" t="s">
        <v>288</v>
      </c>
      <c r="C203" s="12">
        <v>50</v>
      </c>
      <c r="D203" s="12">
        <v>9</v>
      </c>
      <c r="E203" s="12">
        <v>5</v>
      </c>
      <c r="F203" s="12">
        <v>9</v>
      </c>
      <c r="G203" s="12">
        <v>1066.1957349777199</v>
      </c>
      <c r="H203" s="12">
        <v>807.51376326792001</v>
      </c>
      <c r="I203" s="32" t="s">
        <v>333</v>
      </c>
      <c r="J203" s="12">
        <v>803.98324489593494</v>
      </c>
      <c r="K203" s="12">
        <v>807.51376326792001</v>
      </c>
      <c r="L203" s="38">
        <v>189.846195936203</v>
      </c>
      <c r="M203" s="12"/>
      <c r="N203" s="12">
        <f t="shared" si="4"/>
        <v>-262.21249008178495</v>
      </c>
      <c r="P203">
        <f t="shared" si="3"/>
        <v>0</v>
      </c>
      <c r="Q203" s="12">
        <v>723.16376185417096</v>
      </c>
    </row>
    <row r="204" spans="1:17" x14ac:dyDescent="0.2">
      <c r="A204" s="12" t="s">
        <v>36</v>
      </c>
      <c r="B204" s="12" t="s">
        <v>289</v>
      </c>
      <c r="C204" s="12">
        <v>50</v>
      </c>
      <c r="D204" s="12">
        <v>4</v>
      </c>
      <c r="E204" s="12">
        <v>2</v>
      </c>
      <c r="F204" s="12">
        <v>12</v>
      </c>
      <c r="G204" s="12">
        <v>460.56213593482897</v>
      </c>
      <c r="H204" s="12">
        <v>901.57075657521898</v>
      </c>
      <c r="I204" s="32" t="s">
        <v>333</v>
      </c>
      <c r="J204" s="12">
        <v>113.79833698272699</v>
      </c>
      <c r="K204" s="12">
        <v>901.57075664047898</v>
      </c>
      <c r="L204" s="38">
        <v>723.16376185417096</v>
      </c>
      <c r="M204" s="12"/>
      <c r="N204" s="12">
        <f t="shared" si="4"/>
        <v>-346.76379895210198</v>
      </c>
      <c r="P204">
        <v>0</v>
      </c>
      <c r="Q204" s="12">
        <v>32.802223920822101</v>
      </c>
    </row>
    <row r="205" spans="1:17" x14ac:dyDescent="0.2">
      <c r="A205" s="12"/>
      <c r="B205" s="12" t="s">
        <v>290</v>
      </c>
      <c r="C205" s="12"/>
      <c r="D205" s="12"/>
      <c r="E205" s="12"/>
      <c r="F205" s="12"/>
      <c r="G205" s="12">
        <v>10800</v>
      </c>
      <c r="H205" s="12">
        <v>741.10530000000006</v>
      </c>
      <c r="I205" s="32"/>
      <c r="J205" s="12">
        <v>10800</v>
      </c>
      <c r="K205" s="12">
        <v>738.98</v>
      </c>
      <c r="L205" s="38">
        <v>32.802223920822101</v>
      </c>
      <c r="M205" s="12"/>
      <c r="N205" s="12"/>
      <c r="P205">
        <f t="shared" si="3"/>
        <v>-2.1253000000000384</v>
      </c>
      <c r="Q205" s="12">
        <v>225.13566184043799</v>
      </c>
    </row>
    <row r="206" spans="1:17" x14ac:dyDescent="0.2">
      <c r="A206" s="12" t="s">
        <v>36</v>
      </c>
      <c r="B206" s="12" t="s">
        <v>292</v>
      </c>
      <c r="C206" s="12">
        <v>50</v>
      </c>
      <c r="D206" s="12">
        <v>9</v>
      </c>
      <c r="E206" s="12">
        <v>5</v>
      </c>
      <c r="F206" s="12">
        <v>10</v>
      </c>
      <c r="G206" s="12">
        <v>4589.8490200042697</v>
      </c>
      <c r="H206" s="12">
        <v>832.39589166274197</v>
      </c>
      <c r="I206" s="32" t="s">
        <v>333</v>
      </c>
      <c r="J206" s="12">
        <v>7930.9136390685999</v>
      </c>
      <c r="K206" s="12">
        <v>832.395891662743</v>
      </c>
      <c r="L206" s="38">
        <v>225.13566184043799</v>
      </c>
      <c r="M206" s="12"/>
      <c r="N206" s="12">
        <f t="shared" si="4"/>
        <v>3341.0646190643301</v>
      </c>
      <c r="P206">
        <v>0</v>
      </c>
      <c r="Q206" s="12">
        <v>659.83168101310696</v>
      </c>
    </row>
    <row r="207" spans="1:17" x14ac:dyDescent="0.2">
      <c r="A207" s="12" t="s">
        <v>36</v>
      </c>
      <c r="B207" s="12" t="s">
        <v>293</v>
      </c>
      <c r="C207" s="12">
        <v>50</v>
      </c>
      <c r="D207" s="12">
        <v>4</v>
      </c>
      <c r="E207" s="12">
        <v>2</v>
      </c>
      <c r="F207" s="12">
        <v>11</v>
      </c>
      <c r="G207" s="12">
        <v>273.51311397552399</v>
      </c>
      <c r="H207" s="12">
        <v>855.00235402994701</v>
      </c>
      <c r="I207" s="32" t="s">
        <v>333</v>
      </c>
      <c r="J207" s="12">
        <v>250.385988950729</v>
      </c>
      <c r="K207" s="12">
        <v>855.00235402994701</v>
      </c>
      <c r="L207" s="38">
        <v>659.83168101310696</v>
      </c>
      <c r="M207" s="12"/>
      <c r="N207" s="12">
        <f t="shared" si="4"/>
        <v>-23.127125024794992</v>
      </c>
      <c r="P207">
        <v>0</v>
      </c>
      <c r="Q207" s="12">
        <v>74.649861812591496</v>
      </c>
    </row>
    <row r="208" spans="1:17" x14ac:dyDescent="0.2">
      <c r="A208" s="12" t="s">
        <v>36</v>
      </c>
      <c r="B208" s="12" t="s">
        <v>294</v>
      </c>
      <c r="C208" s="12">
        <v>50</v>
      </c>
      <c r="D208" s="12">
        <v>7</v>
      </c>
      <c r="E208" s="12">
        <v>4</v>
      </c>
      <c r="F208" s="12">
        <v>10</v>
      </c>
      <c r="G208" s="12">
        <v>1169.82139897346</v>
      </c>
      <c r="H208" s="12">
        <v>743.55467547029104</v>
      </c>
      <c r="I208" s="32" t="s">
        <v>333</v>
      </c>
      <c r="J208" s="12">
        <v>435.30550789833001</v>
      </c>
      <c r="K208" s="12">
        <v>743.55467547029195</v>
      </c>
      <c r="L208" s="38">
        <v>74.649861812591496</v>
      </c>
      <c r="M208" s="12"/>
      <c r="N208" s="12">
        <f t="shared" si="4"/>
        <v>-734.51589107512996</v>
      </c>
      <c r="P208">
        <v>0</v>
      </c>
      <c r="Q208" s="12">
        <v>270.789073944091</v>
      </c>
    </row>
    <row r="209" spans="1:17" x14ac:dyDescent="0.2">
      <c r="A209" s="12" t="s">
        <v>36</v>
      </c>
      <c r="B209" s="12" t="s">
        <v>296</v>
      </c>
      <c r="C209" s="12">
        <v>50</v>
      </c>
      <c r="D209" s="12">
        <v>9</v>
      </c>
      <c r="E209" s="12">
        <v>5</v>
      </c>
      <c r="F209" s="12">
        <v>9</v>
      </c>
      <c r="G209" s="12">
        <v>805.91976499557495</v>
      </c>
      <c r="H209" s="12">
        <v>753.50083965029</v>
      </c>
      <c r="I209" s="32" t="s">
        <v>333</v>
      </c>
      <c r="J209" s="12">
        <v>930.92517590522698</v>
      </c>
      <c r="K209" s="12">
        <v>753.50083965029</v>
      </c>
      <c r="L209" s="38">
        <v>270.789073944091</v>
      </c>
      <c r="M209" s="12"/>
      <c r="N209" s="12">
        <f t="shared" si="4"/>
        <v>125.00541090965203</v>
      </c>
      <c r="P209">
        <f t="shared" si="3"/>
        <v>0</v>
      </c>
      <c r="Q209" s="12">
        <v>668.521243810653</v>
      </c>
    </row>
    <row r="210" spans="1:17" x14ac:dyDescent="0.2">
      <c r="A210" s="12" t="s">
        <v>36</v>
      </c>
      <c r="B210" s="12" t="s">
        <v>297</v>
      </c>
      <c r="C210" s="12">
        <v>50</v>
      </c>
      <c r="D210" s="12">
        <v>4</v>
      </c>
      <c r="E210" s="12">
        <v>2</v>
      </c>
      <c r="F210" s="12">
        <v>12</v>
      </c>
      <c r="G210" s="12">
        <v>334.24843001365599</v>
      </c>
      <c r="H210" s="12">
        <v>909.08900057300696</v>
      </c>
      <c r="I210" s="32" t="s">
        <v>333</v>
      </c>
      <c r="J210" s="12">
        <v>41.6168498992919</v>
      </c>
      <c r="K210" s="12">
        <v>909.08900057300696</v>
      </c>
      <c r="L210" s="38">
        <v>668.521243810653</v>
      </c>
      <c r="M210" s="12"/>
      <c r="N210" s="12">
        <f t="shared" si="4"/>
        <v>-292.63158011436411</v>
      </c>
      <c r="P210">
        <f t="shared" si="3"/>
        <v>0</v>
      </c>
      <c r="Q210" s="12">
        <v>33.398602008819502</v>
      </c>
    </row>
    <row r="211" spans="1:17" x14ac:dyDescent="0.2">
      <c r="A211" s="12" t="s">
        <v>36</v>
      </c>
      <c r="B211" s="12" t="s">
        <v>298</v>
      </c>
      <c r="C211" s="12">
        <v>50</v>
      </c>
      <c r="D211" s="12">
        <v>7</v>
      </c>
      <c r="E211" s="12">
        <v>4</v>
      </c>
      <c r="F211" s="12">
        <v>9</v>
      </c>
      <c r="G211" s="12">
        <v>2082.77753305435</v>
      </c>
      <c r="H211" s="12">
        <v>730.028027536933</v>
      </c>
      <c r="I211" s="32" t="s">
        <v>333</v>
      </c>
      <c r="J211" s="12">
        <v>693.47356104850701</v>
      </c>
      <c r="K211" s="12">
        <v>730.028027536933</v>
      </c>
      <c r="L211" s="38">
        <v>33.398602008819502</v>
      </c>
      <c r="M211" s="12"/>
      <c r="N211" s="12">
        <f t="shared" si="4"/>
        <v>-1389.303972005843</v>
      </c>
      <c r="P211">
        <f t="shared" si="3"/>
        <v>0</v>
      </c>
      <c r="Q211" s="12">
        <v>204.58951902389501</v>
      </c>
    </row>
    <row r="212" spans="1:17" x14ac:dyDescent="0.2">
      <c r="A212" s="12" t="s">
        <v>36</v>
      </c>
      <c r="B212" s="12" t="s">
        <v>300</v>
      </c>
      <c r="C212" s="12">
        <v>50</v>
      </c>
      <c r="D212" s="12">
        <v>9</v>
      </c>
      <c r="E212" s="12">
        <v>5</v>
      </c>
      <c r="F212" s="12">
        <v>9</v>
      </c>
      <c r="G212" s="12">
        <v>3233.9754600524898</v>
      </c>
      <c r="H212" s="12">
        <v>833.30816974229901</v>
      </c>
      <c r="I212" s="32" t="s">
        <v>333</v>
      </c>
      <c r="J212" s="12">
        <v>10800</v>
      </c>
      <c r="K212" s="12">
        <v>835.09</v>
      </c>
      <c r="L212" s="38">
        <v>204.58951902389501</v>
      </c>
      <c r="M212" s="12"/>
      <c r="N212" s="12">
        <f t="shared" si="4"/>
        <v>7566.0245399475098</v>
      </c>
      <c r="P212">
        <f t="shared" si="3"/>
        <v>1.7818302577010172</v>
      </c>
      <c r="Q212" s="12">
        <v>692.00214910507202</v>
      </c>
    </row>
    <row r="213" spans="1:17" s="33" customFormat="1" x14ac:dyDescent="0.2">
      <c r="H213" s="35">
        <v>31</v>
      </c>
      <c r="K213" s="35">
        <v>47</v>
      </c>
      <c r="L213" s="38">
        <v>692.00214910507202</v>
      </c>
      <c r="M213" s="35"/>
      <c r="N213" s="33">
        <f>COUNTIF(N154:N212,"&lt;0")</f>
        <v>16</v>
      </c>
      <c r="O213" s="33">
        <f>K213-H213</f>
        <v>16</v>
      </c>
      <c r="P213" s="33">
        <f>COUNTIF(P154:P212, "&lt;0")</f>
        <v>12</v>
      </c>
      <c r="Q213" s="12">
        <f>AVERAGE(Q153:Q212)</f>
        <v>440.98581490119238</v>
      </c>
    </row>
    <row r="214" spans="1:17" x14ac:dyDescent="0.2">
      <c r="M214" s="12"/>
    </row>
    <row r="215" spans="1:17" x14ac:dyDescent="0.2">
      <c r="B215" s="12" t="s">
        <v>301</v>
      </c>
      <c r="C215">
        <v>75</v>
      </c>
      <c r="G215" s="11">
        <v>18155.8193030357</v>
      </c>
      <c r="H215" s="11">
        <v>1173.73306814993</v>
      </c>
      <c r="I215" s="31">
        <v>2.94368618929496E-3</v>
      </c>
      <c r="J215" s="11">
        <v>8274.9971761703491</v>
      </c>
      <c r="K215" s="11">
        <v>1173.73306814994</v>
      </c>
      <c r="L215" s="37">
        <v>109.87687683105401</v>
      </c>
      <c r="M215" s="11"/>
      <c r="N215" s="11">
        <f>J215-G215</f>
        <v>-9880.8221268653506</v>
      </c>
      <c r="P215">
        <f>K215-H215</f>
        <v>1.0004441719502211E-11</v>
      </c>
      <c r="Q215" s="12"/>
    </row>
    <row r="216" spans="1:17" x14ac:dyDescent="0.2">
      <c r="B216" s="12" t="s">
        <v>303</v>
      </c>
      <c r="C216">
        <v>75</v>
      </c>
      <c r="G216" s="12">
        <v>18120.301541805198</v>
      </c>
      <c r="H216" s="12">
        <v>1033.67949549492</v>
      </c>
      <c r="I216" s="32">
        <v>1.6324706145154799E-2</v>
      </c>
      <c r="K216" s="12">
        <v>1030.48</v>
      </c>
      <c r="L216" s="38">
        <v>1611.9235229492101</v>
      </c>
      <c r="M216" s="11"/>
      <c r="N216" s="11"/>
      <c r="P216">
        <f t="shared" ref="P216:P274" si="5">K216-H216</f>
        <v>-3.1994954949200292</v>
      </c>
      <c r="Q216" s="12"/>
    </row>
    <row r="217" spans="1:17" x14ac:dyDescent="0.2">
      <c r="B217" s="12" t="s">
        <v>304</v>
      </c>
      <c r="C217">
        <v>75</v>
      </c>
      <c r="G217" s="12">
        <v>18113.758543968201</v>
      </c>
      <c r="H217" s="12">
        <v>1083.36625413299</v>
      </c>
      <c r="I217" s="32">
        <v>1.14714835091851E-2</v>
      </c>
      <c r="K217" s="12">
        <v>1079.81</v>
      </c>
      <c r="L217" s="38">
        <v>3790.72776603698</v>
      </c>
      <c r="M217" s="11"/>
      <c r="N217" s="11"/>
      <c r="P217">
        <f t="shared" si="5"/>
        <v>-3.5562541329900341</v>
      </c>
      <c r="Q217" s="12"/>
    </row>
    <row r="218" spans="1:17" x14ac:dyDescent="0.2">
      <c r="B218" s="12" t="s">
        <v>342</v>
      </c>
      <c r="C218">
        <v>75</v>
      </c>
      <c r="G218">
        <v>18137.564568000002</v>
      </c>
      <c r="H218">
        <v>0</v>
      </c>
      <c r="I218" s="6">
        <v>8.8199999999999997E-3</v>
      </c>
      <c r="J218" s="12">
        <v>926.56151294708195</v>
      </c>
      <c r="K218" s="12">
        <v>1289.6913368333801</v>
      </c>
      <c r="L218" s="38">
        <v>184.142727136611</v>
      </c>
      <c r="M218" s="11"/>
      <c r="N218" s="11">
        <f t="shared" ref="N218:N230" si="6">J218-G218</f>
        <v>-17211.003055052919</v>
      </c>
      <c r="P218">
        <f t="shared" si="5"/>
        <v>1289.6913368333801</v>
      </c>
      <c r="Q218" s="12"/>
    </row>
    <row r="219" spans="1:17" x14ac:dyDescent="0.2">
      <c r="B219" s="12" t="s">
        <v>305</v>
      </c>
      <c r="C219">
        <v>75</v>
      </c>
      <c r="G219" s="12">
        <v>18112.121869802399</v>
      </c>
      <c r="H219" s="12">
        <v>971.482268810096</v>
      </c>
      <c r="I219" s="32">
        <v>1.9938829302797801E-3</v>
      </c>
      <c r="K219" s="12">
        <v>972.63</v>
      </c>
      <c r="L219" s="38">
        <v>652.16407895088196</v>
      </c>
      <c r="M219" s="11"/>
      <c r="N219" s="11">
        <f t="shared" si="6"/>
        <v>-18112.121869802399</v>
      </c>
      <c r="P219">
        <f t="shared" si="5"/>
        <v>1.1477311899039933</v>
      </c>
    </row>
    <row r="220" spans="1:17" x14ac:dyDescent="0.2">
      <c r="B220" s="12" t="s">
        <v>306</v>
      </c>
      <c r="C220">
        <v>75</v>
      </c>
      <c r="G220" s="12">
        <v>18155.8715980052</v>
      </c>
      <c r="H220" s="12">
        <v>1060.41025903633</v>
      </c>
      <c r="I220" s="32">
        <v>4.73855471097536E-3</v>
      </c>
      <c r="K220" s="12">
        <v>1062.8</v>
      </c>
      <c r="L220" s="38">
        <v>7844.48268103599</v>
      </c>
      <c r="M220" s="11"/>
      <c r="N220" s="11">
        <f t="shared" si="6"/>
        <v>-18155.8715980052</v>
      </c>
      <c r="P220">
        <f t="shared" si="5"/>
        <v>2.3897409636699649</v>
      </c>
    </row>
    <row r="221" spans="1:17" x14ac:dyDescent="0.2">
      <c r="B221" s="12" t="s">
        <v>307</v>
      </c>
      <c r="C221">
        <v>75</v>
      </c>
      <c r="G221" s="12">
        <v>18112.245326995799</v>
      </c>
      <c r="H221" s="12">
        <v>1153.6208517658099</v>
      </c>
      <c r="I221" s="32">
        <v>8.8204509387879697E-3</v>
      </c>
      <c r="K221" s="12">
        <v>1160.52</v>
      </c>
      <c r="L221" s="38">
        <v>680.89679288864102</v>
      </c>
      <c r="M221" s="11"/>
      <c r="N221" s="11">
        <f t="shared" si="6"/>
        <v>-18112.245326995799</v>
      </c>
      <c r="P221">
        <f t="shared" si="5"/>
        <v>6.8991482341900792</v>
      </c>
    </row>
    <row r="222" spans="1:17" x14ac:dyDescent="0.2">
      <c r="B222" s="12" t="s">
        <v>308</v>
      </c>
      <c r="C222">
        <v>75</v>
      </c>
      <c r="H222">
        <v>944.25049999999999</v>
      </c>
      <c r="I222" s="6">
        <v>1.8700000000000001E-2</v>
      </c>
      <c r="K222" s="12">
        <v>942.21</v>
      </c>
      <c r="L222" s="38">
        <v>2605.1461329460099</v>
      </c>
      <c r="M222" s="11"/>
      <c r="N222" s="11">
        <f t="shared" si="6"/>
        <v>0</v>
      </c>
      <c r="P222">
        <f t="shared" si="5"/>
        <v>-2.0404999999999518</v>
      </c>
    </row>
    <row r="223" spans="1:17" x14ac:dyDescent="0.2">
      <c r="B223" s="12" t="s">
        <v>309</v>
      </c>
      <c r="C223">
        <v>75</v>
      </c>
      <c r="H223">
        <v>1119.4308000000001</v>
      </c>
      <c r="I223" s="6">
        <v>1.72E-2</v>
      </c>
      <c r="J223" s="12">
        <v>10870.509534835801</v>
      </c>
      <c r="K223" s="12">
        <v>1135.83341656429</v>
      </c>
      <c r="L223" s="38">
        <v>3063.9154031276698</v>
      </c>
      <c r="M223" s="11"/>
      <c r="N223" s="11">
        <f t="shared" si="6"/>
        <v>10870.509534835801</v>
      </c>
      <c r="P223">
        <f t="shared" si="5"/>
        <v>16.402616564289929</v>
      </c>
    </row>
    <row r="224" spans="1:17" x14ac:dyDescent="0.2">
      <c r="B224" s="12" t="s">
        <v>310</v>
      </c>
      <c r="C224">
        <v>75</v>
      </c>
      <c r="H224" s="12">
        <v>1272.1396</v>
      </c>
      <c r="I224" s="6">
        <v>9.7000000000000003E-3</v>
      </c>
      <c r="K224" s="12">
        <v>1271.6600000000001</v>
      </c>
      <c r="L224" s="38">
        <v>114.162755966186</v>
      </c>
      <c r="M224" s="11"/>
      <c r="N224" s="11">
        <f t="shared" si="6"/>
        <v>0</v>
      </c>
      <c r="P224">
        <f t="shared" si="5"/>
        <v>-0.47959999999989122</v>
      </c>
    </row>
    <row r="225" spans="2:17" x14ac:dyDescent="0.2">
      <c r="B225" s="12" t="s">
        <v>343</v>
      </c>
      <c r="C225">
        <v>75</v>
      </c>
      <c r="G225" s="12">
        <v>18110.888017892801</v>
      </c>
      <c r="H225" s="12">
        <v>988.03608087903694</v>
      </c>
      <c r="I225" s="32">
        <v>7.1383130058169496E-3</v>
      </c>
      <c r="J225" s="12">
        <v>8260.1379721164703</v>
      </c>
      <c r="K225" s="12">
        <v>988.03608087903604</v>
      </c>
      <c r="L225" s="38">
        <v>923.98716115951504</v>
      </c>
      <c r="M225" s="11"/>
      <c r="N225" s="11">
        <f t="shared" si="6"/>
        <v>-9850.7500457763308</v>
      </c>
      <c r="P225">
        <f t="shared" si="5"/>
        <v>-9.0949470177292824E-13</v>
      </c>
    </row>
    <row r="226" spans="2:17" x14ac:dyDescent="0.2">
      <c r="B226" s="12" t="s">
        <v>344</v>
      </c>
      <c r="C226">
        <v>75</v>
      </c>
      <c r="G226" s="12">
        <v>18124.8366370201</v>
      </c>
      <c r="H226" s="12">
        <v>1036.3544898015</v>
      </c>
      <c r="I226" s="32">
        <v>6.3180269146345001E-3</v>
      </c>
      <c r="K226" s="12">
        <v>1037.93</v>
      </c>
      <c r="L226" s="38">
        <v>4416.9356381893103</v>
      </c>
      <c r="M226" s="11"/>
      <c r="N226" s="11">
        <f t="shared" si="6"/>
        <v>-18124.8366370201</v>
      </c>
      <c r="P226">
        <f t="shared" si="5"/>
        <v>1.5755101985000692</v>
      </c>
    </row>
    <row r="227" spans="2:17" x14ac:dyDescent="0.2">
      <c r="B227" s="12" t="s">
        <v>311</v>
      </c>
      <c r="C227">
        <v>75</v>
      </c>
      <c r="H227">
        <v>1212.9871000000001</v>
      </c>
      <c r="I227" s="6">
        <v>1.03E-2</v>
      </c>
      <c r="K227" s="12">
        <v>1217.1400000000001</v>
      </c>
      <c r="L227" s="38">
        <v>99.666671991348196</v>
      </c>
      <c r="M227" s="11"/>
      <c r="N227" s="11">
        <f t="shared" si="6"/>
        <v>0</v>
      </c>
      <c r="P227">
        <f t="shared" si="5"/>
        <v>4.1529000000000451</v>
      </c>
    </row>
    <row r="228" spans="2:17" x14ac:dyDescent="0.2">
      <c r="B228" s="12" t="s">
        <v>312</v>
      </c>
      <c r="C228">
        <v>75</v>
      </c>
      <c r="G228" s="12">
        <v>18110.766237974101</v>
      </c>
      <c r="H228" s="12">
        <v>988.57964219794599</v>
      </c>
      <c r="I228" s="32">
        <v>1.3601619283830199E-2</v>
      </c>
      <c r="K228">
        <v>984.26</v>
      </c>
      <c r="L228" s="38">
        <v>962.79868698120094</v>
      </c>
      <c r="M228" s="11"/>
      <c r="N228" s="11">
        <f t="shared" si="6"/>
        <v>-18110.766237974101</v>
      </c>
      <c r="P228">
        <f t="shared" si="5"/>
        <v>-4.3196421979459956</v>
      </c>
    </row>
    <row r="229" spans="2:17" x14ac:dyDescent="0.2">
      <c r="B229" s="12" t="s">
        <v>313</v>
      </c>
      <c r="C229">
        <v>75</v>
      </c>
      <c r="G229" s="12">
        <v>18138.534502029401</v>
      </c>
      <c r="H229" s="12">
        <v>1082.0672993006301</v>
      </c>
      <c r="I229" s="32">
        <v>1.7617547101659999E-3</v>
      </c>
      <c r="K229">
        <v>1086.71</v>
      </c>
      <c r="L229" s="38">
        <v>3122.9636340141201</v>
      </c>
      <c r="M229" s="11"/>
      <c r="N229" s="11">
        <f t="shared" si="6"/>
        <v>-18138.534502029401</v>
      </c>
      <c r="P229">
        <f t="shared" si="5"/>
        <v>4.6427006993699251</v>
      </c>
    </row>
    <row r="230" spans="2:17" x14ac:dyDescent="0.2">
      <c r="B230" s="12" t="s">
        <v>345</v>
      </c>
      <c r="C230">
        <v>75</v>
      </c>
      <c r="H230">
        <v>1181.4477999999999</v>
      </c>
      <c r="I230" s="6">
        <v>5.0200000000000002E-2</v>
      </c>
      <c r="K230" s="12">
        <v>1170.1400000000001</v>
      </c>
      <c r="L230" s="38">
        <v>330.39267921447703</v>
      </c>
      <c r="M230" s="11"/>
      <c r="N230" s="11">
        <f t="shared" si="6"/>
        <v>0</v>
      </c>
      <c r="P230">
        <f t="shared" si="5"/>
        <v>-11.307799999999816</v>
      </c>
    </row>
    <row r="231" spans="2:17" x14ac:dyDescent="0.2">
      <c r="B231" s="12" t="s">
        <v>314</v>
      </c>
      <c r="C231">
        <v>75</v>
      </c>
      <c r="H231" s="12">
        <v>1062.8683000000001</v>
      </c>
      <c r="I231" s="6">
        <v>5.5399999999999998E-2</v>
      </c>
      <c r="K231">
        <v>1048.68</v>
      </c>
      <c r="L231" s="38">
        <v>697.55807900428704</v>
      </c>
      <c r="M231" s="11"/>
      <c r="N231" s="11">
        <f t="shared" ref="N231:N274" si="7">J231-G231</f>
        <v>0</v>
      </c>
      <c r="P231">
        <f t="shared" si="5"/>
        <v>-14.188300000000027</v>
      </c>
      <c r="Q231" s="12"/>
    </row>
    <row r="232" spans="2:17" hidden="1" x14ac:dyDescent="0.2">
      <c r="B232" s="12" t="s">
        <v>346</v>
      </c>
      <c r="C232">
        <v>75</v>
      </c>
      <c r="H232">
        <v>1043.021</v>
      </c>
      <c r="I232" s="6">
        <v>5.9799999999999999E-2</v>
      </c>
      <c r="L232" s="38">
        <v>326.003592967987</v>
      </c>
      <c r="M232" s="11"/>
      <c r="N232" s="11">
        <f t="shared" si="7"/>
        <v>0</v>
      </c>
      <c r="P232">
        <f t="shared" si="5"/>
        <v>-1043.021</v>
      </c>
      <c r="Q232" s="12"/>
    </row>
    <row r="233" spans="2:17" x14ac:dyDescent="0.2">
      <c r="B233" s="12" t="s">
        <v>368</v>
      </c>
      <c r="C233">
        <v>75</v>
      </c>
      <c r="G233" s="12">
        <v>18112.8172061443</v>
      </c>
      <c r="H233" s="12">
        <v>1270.3852792615801</v>
      </c>
      <c r="I233" s="32">
        <v>5.5327851863947598E-2</v>
      </c>
      <c r="K233">
        <v>1247.58</v>
      </c>
      <c r="L233" s="38">
        <v>1014.03580784797</v>
      </c>
      <c r="M233" s="11"/>
      <c r="N233" s="11">
        <f t="shared" si="7"/>
        <v>-18112.8172061443</v>
      </c>
      <c r="P233">
        <f t="shared" si="5"/>
        <v>-22.805279261580154</v>
      </c>
      <c r="Q233" s="12"/>
    </row>
    <row r="234" spans="2:17" hidden="1" x14ac:dyDescent="0.2">
      <c r="B234" s="12" t="s">
        <v>369</v>
      </c>
      <c r="C234">
        <v>75</v>
      </c>
      <c r="H234">
        <v>995.16390000000001</v>
      </c>
      <c r="I234" s="6">
        <v>4.2500000000000003E-2</v>
      </c>
      <c r="L234" s="38">
        <v>7110.7302041053699</v>
      </c>
      <c r="M234" s="11"/>
      <c r="N234" s="11">
        <f t="shared" si="7"/>
        <v>0</v>
      </c>
      <c r="P234">
        <f t="shared" si="5"/>
        <v>-995.16390000000001</v>
      </c>
      <c r="Q234" s="12"/>
    </row>
    <row r="235" spans="2:17" x14ac:dyDescent="0.2">
      <c r="B235" s="12" t="s">
        <v>370</v>
      </c>
      <c r="C235">
        <v>75</v>
      </c>
      <c r="G235" s="12">
        <v>18108.920886039701</v>
      </c>
      <c r="H235" s="12">
        <v>1116.30443449273</v>
      </c>
      <c r="I235" s="32">
        <v>5.01360355688239E-2</v>
      </c>
      <c r="K235">
        <v>1100.56</v>
      </c>
      <c r="L235" s="38">
        <v>195.146620988845</v>
      </c>
      <c r="M235" s="11"/>
      <c r="N235" s="11">
        <f t="shared" si="7"/>
        <v>-18108.920886039701</v>
      </c>
      <c r="P235">
        <f t="shared" si="5"/>
        <v>-15.744434492730079</v>
      </c>
      <c r="Q235" s="12"/>
    </row>
    <row r="236" spans="2:17" x14ac:dyDescent="0.2">
      <c r="B236" s="12" t="s">
        <v>347</v>
      </c>
      <c r="C236">
        <v>75</v>
      </c>
      <c r="G236" s="12">
        <v>18145.6079709529</v>
      </c>
      <c r="H236" s="12">
        <v>1107.5916812021601</v>
      </c>
      <c r="I236" s="32">
        <v>3.6391883768931502E-2</v>
      </c>
      <c r="J236" s="12">
        <v>11466.041419982899</v>
      </c>
      <c r="K236" s="12">
        <v>1107.4368819992601</v>
      </c>
      <c r="L236" s="38">
        <v>1483.3865659236899</v>
      </c>
      <c r="M236" s="11"/>
      <c r="N236" s="11">
        <f t="shared" si="7"/>
        <v>-6679.5665509700011</v>
      </c>
      <c r="P236">
        <f t="shared" si="5"/>
        <v>-0.15479920289999427</v>
      </c>
      <c r="Q236" s="12"/>
    </row>
    <row r="237" spans="2:17" hidden="1" x14ac:dyDescent="0.2">
      <c r="B237" s="12" t="s">
        <v>348</v>
      </c>
      <c r="C237">
        <v>75</v>
      </c>
      <c r="H237">
        <v>974.18129999999996</v>
      </c>
      <c r="I237" s="6">
        <v>4.1200000000000001E-2</v>
      </c>
      <c r="K237" s="12"/>
      <c r="L237" s="38">
        <v>229.43975090980501</v>
      </c>
      <c r="M237" s="11"/>
      <c r="N237" s="11">
        <f t="shared" si="7"/>
        <v>0</v>
      </c>
      <c r="P237">
        <f t="shared" si="5"/>
        <v>-974.18129999999996</v>
      </c>
    </row>
    <row r="238" spans="2:17" hidden="1" x14ac:dyDescent="0.2">
      <c r="B238" s="12" t="s">
        <v>315</v>
      </c>
      <c r="C238">
        <v>75</v>
      </c>
      <c r="H238">
        <v>1115.6964</v>
      </c>
      <c r="I238" s="6">
        <v>4.6800000000000001E-2</v>
      </c>
      <c r="K238" s="12"/>
      <c r="L238" s="38">
        <v>1966.6844279766001</v>
      </c>
      <c r="M238" s="11"/>
      <c r="N238" s="11">
        <f t="shared" si="7"/>
        <v>0</v>
      </c>
      <c r="P238">
        <f t="shared" si="5"/>
        <v>-1115.6964</v>
      </c>
    </row>
    <row r="239" spans="2:17" x14ac:dyDescent="0.2">
      <c r="B239" s="12" t="s">
        <v>349</v>
      </c>
      <c r="C239">
        <v>75</v>
      </c>
      <c r="G239" s="12">
        <v>18109.131826877499</v>
      </c>
      <c r="H239" s="12">
        <v>1261.41107038368</v>
      </c>
      <c r="I239" s="32">
        <v>4.28134953602579E-2</v>
      </c>
      <c r="K239" s="12">
        <v>1255.57</v>
      </c>
      <c r="L239" s="38">
        <v>5809.6660318374597</v>
      </c>
      <c r="M239" s="11"/>
      <c r="N239" s="11">
        <f t="shared" si="7"/>
        <v>-18109.131826877499</v>
      </c>
      <c r="P239">
        <f t="shared" si="5"/>
        <v>-5.8410703836800622</v>
      </c>
    </row>
    <row r="240" spans="2:17" x14ac:dyDescent="0.2">
      <c r="B240" s="12" t="s">
        <v>316</v>
      </c>
      <c r="C240">
        <v>75</v>
      </c>
      <c r="G240" s="12">
        <v>18117.270412921898</v>
      </c>
      <c r="H240" s="12">
        <v>1035.2840585142801</v>
      </c>
      <c r="I240" s="32">
        <v>4.1164460961056498E-2</v>
      </c>
      <c r="K240">
        <v>1035.27</v>
      </c>
      <c r="L240" s="38">
        <v>118.17609691619801</v>
      </c>
      <c r="M240" s="11"/>
      <c r="N240" s="11">
        <f t="shared" si="7"/>
        <v>-18117.270412921898</v>
      </c>
      <c r="P240">
        <f t="shared" si="5"/>
        <v>-1.4058514280122836E-2</v>
      </c>
    </row>
    <row r="241" spans="2:16" x14ac:dyDescent="0.2">
      <c r="B241" s="12" t="s">
        <v>350</v>
      </c>
      <c r="C241">
        <v>75</v>
      </c>
      <c r="H241">
        <v>1169.3631</v>
      </c>
      <c r="I241" s="6">
        <v>6.9199999999999998E-2</v>
      </c>
      <c r="K241" s="12">
        <v>1132.6400000000001</v>
      </c>
      <c r="L241" s="38">
        <v>1074.66111087799</v>
      </c>
      <c r="M241" s="11"/>
      <c r="N241" s="11">
        <f t="shared" si="7"/>
        <v>0</v>
      </c>
      <c r="P241">
        <f t="shared" si="5"/>
        <v>-36.723099999999931</v>
      </c>
    </row>
    <row r="242" spans="2:16" x14ac:dyDescent="0.2">
      <c r="B242" s="12" t="s">
        <v>351</v>
      </c>
      <c r="C242">
        <v>75</v>
      </c>
      <c r="H242">
        <v>1256.7284999999999</v>
      </c>
      <c r="I242" s="6">
        <v>6.6500000000000004E-2</v>
      </c>
      <c r="K242" s="12">
        <v>1235.44</v>
      </c>
      <c r="L242" s="38">
        <v>3723.5207319259598</v>
      </c>
      <c r="M242" s="11"/>
      <c r="N242" s="11">
        <f t="shared" si="7"/>
        <v>0</v>
      </c>
      <c r="P242">
        <f t="shared" si="5"/>
        <v>-21.288499999999885</v>
      </c>
    </row>
    <row r="243" spans="2:16" x14ac:dyDescent="0.2">
      <c r="B243" s="12" t="s">
        <v>352</v>
      </c>
      <c r="C243">
        <v>75</v>
      </c>
      <c r="H243">
        <v>1104.3708999999999</v>
      </c>
      <c r="I243" s="6">
        <v>4.6199999999999998E-2</v>
      </c>
      <c r="J243" s="12">
        <v>13904.333414793</v>
      </c>
      <c r="K243">
        <v>1090.97</v>
      </c>
      <c r="L243" s="38">
        <v>122.36601400375299</v>
      </c>
      <c r="M243" s="11"/>
      <c r="N243" s="11">
        <f t="shared" si="7"/>
        <v>13904.333414793</v>
      </c>
      <c r="P243">
        <f t="shared" si="5"/>
        <v>-13.400899999999865</v>
      </c>
    </row>
    <row r="244" spans="2:16" x14ac:dyDescent="0.2">
      <c r="B244" s="12" t="s">
        <v>353</v>
      </c>
      <c r="C244">
        <v>75</v>
      </c>
      <c r="H244">
        <v>1044.8904</v>
      </c>
      <c r="I244" s="6">
        <v>4.1200000000000001E-2</v>
      </c>
      <c r="K244" s="12">
        <v>1047.19</v>
      </c>
      <c r="L244" s="38">
        <v>2591.1391630172702</v>
      </c>
      <c r="M244" s="11"/>
      <c r="N244" s="11">
        <f t="shared" si="7"/>
        <v>0</v>
      </c>
      <c r="P244">
        <f t="shared" si="5"/>
        <v>2.2996000000000549</v>
      </c>
    </row>
    <row r="245" spans="2:16" x14ac:dyDescent="0.2">
      <c r="B245" s="12" t="s">
        <v>354</v>
      </c>
      <c r="C245">
        <v>75</v>
      </c>
      <c r="H245">
        <v>1044.8904</v>
      </c>
      <c r="I245" s="6">
        <v>2.7199999999999998E-2</v>
      </c>
      <c r="K245" s="12">
        <v>1147.0999999999999</v>
      </c>
      <c r="L245" s="38">
        <v>12019.117067813801</v>
      </c>
      <c r="M245" s="11"/>
      <c r="N245" s="11">
        <f t="shared" si="7"/>
        <v>0</v>
      </c>
      <c r="P245">
        <f t="shared" si="5"/>
        <v>102.20959999999991</v>
      </c>
    </row>
    <row r="246" spans="2:16" x14ac:dyDescent="0.2">
      <c r="B246" s="12" t="s">
        <v>317</v>
      </c>
      <c r="C246">
        <v>75</v>
      </c>
      <c r="G246" s="12">
        <v>18141.483726978298</v>
      </c>
      <c r="H246" s="12">
        <v>1010.40912687338</v>
      </c>
      <c r="I246" s="32">
        <v>2.0615558819449001E-2</v>
      </c>
      <c r="K246" s="12">
        <v>1011.4</v>
      </c>
      <c r="L246" s="38">
        <v>592.40157794952302</v>
      </c>
      <c r="M246" s="11"/>
      <c r="N246" s="11">
        <f t="shared" si="7"/>
        <v>-18141.483726978298</v>
      </c>
      <c r="P246">
        <f t="shared" si="5"/>
        <v>0.9908731266199311</v>
      </c>
    </row>
    <row r="247" spans="2:16" hidden="1" x14ac:dyDescent="0.2">
      <c r="B247" s="12" t="s">
        <v>318</v>
      </c>
      <c r="C247">
        <v>75</v>
      </c>
      <c r="G247" s="12">
        <v>18134.4330480098</v>
      </c>
      <c r="H247" s="12">
        <v>1087.62838673179</v>
      </c>
      <c r="I247" s="32">
        <v>4.2082811624351998E-2</v>
      </c>
      <c r="K247" s="12"/>
      <c r="L247" s="38">
        <v>791.61364793777398</v>
      </c>
      <c r="M247" s="11"/>
      <c r="N247" s="11">
        <f t="shared" si="7"/>
        <v>-18134.4330480098</v>
      </c>
      <c r="P247">
        <f t="shared" si="5"/>
        <v>-1087.62838673179</v>
      </c>
    </row>
    <row r="248" spans="2:16" x14ac:dyDescent="0.2">
      <c r="B248" s="12" t="s">
        <v>319</v>
      </c>
      <c r="C248">
        <v>75</v>
      </c>
      <c r="H248">
        <v>1208.3666000000001</v>
      </c>
      <c r="I248" s="6">
        <v>6.3200000000000006E-2</v>
      </c>
      <c r="K248" s="12">
        <v>1235.44</v>
      </c>
      <c r="L248" s="38">
        <v>10285.1613359451</v>
      </c>
      <c r="M248" s="11"/>
      <c r="N248" s="11">
        <f t="shared" si="7"/>
        <v>0</v>
      </c>
      <c r="P248">
        <f t="shared" si="5"/>
        <v>27.073399999999992</v>
      </c>
    </row>
    <row r="249" spans="2:16" x14ac:dyDescent="0.2">
      <c r="B249" s="12" t="s">
        <v>320</v>
      </c>
      <c r="C249">
        <v>75</v>
      </c>
      <c r="G249" s="12">
        <v>18126.962996006001</v>
      </c>
      <c r="H249" s="12">
        <v>958.01375174909901</v>
      </c>
      <c r="I249" s="32">
        <v>1.70288348619154E-2</v>
      </c>
      <c r="K249" s="12">
        <v>959.97</v>
      </c>
      <c r="L249" s="38">
        <v>1113.77140784263</v>
      </c>
      <c r="M249" s="11"/>
      <c r="N249" s="11">
        <f t="shared" si="7"/>
        <v>-18126.962996006001</v>
      </c>
      <c r="P249">
        <f t="shared" si="5"/>
        <v>1.9562482509010124</v>
      </c>
    </row>
    <row r="250" spans="2:16" x14ac:dyDescent="0.2">
      <c r="B250" s="12" t="s">
        <v>355</v>
      </c>
      <c r="C250">
        <v>75</v>
      </c>
      <c r="G250" s="12">
        <v>18136.067210912701</v>
      </c>
      <c r="H250" s="12">
        <v>1119.5439373020399</v>
      </c>
      <c r="I250" s="32">
        <v>3.9480711383675399E-2</v>
      </c>
      <c r="K250" s="12">
        <v>1112.8800000000001</v>
      </c>
      <c r="L250" s="38">
        <v>1671.0355050563801</v>
      </c>
      <c r="M250" s="11"/>
      <c r="N250" s="11">
        <f t="shared" si="7"/>
        <v>-18136.067210912701</v>
      </c>
      <c r="P250">
        <f t="shared" si="5"/>
        <v>-6.6639373020398125</v>
      </c>
    </row>
    <row r="251" spans="2:16" x14ac:dyDescent="0.2">
      <c r="B251" s="12" t="s">
        <v>356</v>
      </c>
      <c r="C251">
        <v>75</v>
      </c>
      <c r="H251">
        <v>1056.5492999999999</v>
      </c>
      <c r="I251" s="6">
        <v>1.54E-2</v>
      </c>
      <c r="J251" s="12">
        <v>1613.32210087776</v>
      </c>
      <c r="K251" s="12">
        <v>1055.63064340439</v>
      </c>
      <c r="L251" s="38">
        <v>337.57754206657398</v>
      </c>
      <c r="M251" s="11"/>
      <c r="N251" s="11">
        <f t="shared" si="7"/>
        <v>1613.32210087776</v>
      </c>
      <c r="P251">
        <f t="shared" si="5"/>
        <v>-0.91865659560994573</v>
      </c>
    </row>
    <row r="252" spans="2:16" x14ac:dyDescent="0.2">
      <c r="B252" s="12" t="s">
        <v>357</v>
      </c>
      <c r="C252">
        <v>75</v>
      </c>
      <c r="H252">
        <v>871.18439999999998</v>
      </c>
      <c r="J252">
        <v>1731.8917039999999</v>
      </c>
      <c r="K252" s="12">
        <v>1055.6300000000001</v>
      </c>
      <c r="L252" s="38">
        <v>8282.9904038906097</v>
      </c>
      <c r="M252" s="11"/>
      <c r="N252" s="11">
        <f t="shared" si="7"/>
        <v>1731.8917039999999</v>
      </c>
      <c r="P252">
        <f t="shared" si="5"/>
        <v>184.44560000000013</v>
      </c>
    </row>
    <row r="253" spans="2:16" hidden="1" x14ac:dyDescent="0.2">
      <c r="B253" s="12" t="s">
        <v>358</v>
      </c>
      <c r="C253">
        <v>75</v>
      </c>
      <c r="H253">
        <v>1083.4746</v>
      </c>
      <c r="I253" s="6">
        <v>2.53E-2</v>
      </c>
      <c r="K253" s="12"/>
      <c r="L253" s="38">
        <v>201.08492398262001</v>
      </c>
      <c r="M253" s="11"/>
      <c r="N253" s="11">
        <f t="shared" si="7"/>
        <v>0</v>
      </c>
      <c r="P253">
        <f t="shared" si="5"/>
        <v>-1083.4746</v>
      </c>
    </row>
    <row r="254" spans="2:16" x14ac:dyDescent="0.2">
      <c r="B254" s="12" t="s">
        <v>359</v>
      </c>
      <c r="C254">
        <v>75</v>
      </c>
      <c r="H254">
        <v>1278.6518000000001</v>
      </c>
      <c r="I254" s="6">
        <v>9.8100000000000007E-2</v>
      </c>
      <c r="K254" s="12">
        <v>1247.6199999999999</v>
      </c>
      <c r="L254" s="38">
        <v>11966.643261909399</v>
      </c>
      <c r="M254" s="11"/>
      <c r="N254" s="11">
        <f t="shared" si="7"/>
        <v>0</v>
      </c>
      <c r="P254">
        <f t="shared" si="5"/>
        <v>-31.031800000000203</v>
      </c>
    </row>
    <row r="255" spans="2:16" hidden="1" x14ac:dyDescent="0.2">
      <c r="B255" s="12" t="s">
        <v>360</v>
      </c>
      <c r="C255">
        <v>75</v>
      </c>
      <c r="G255" s="12">
        <v>18122.601098060601</v>
      </c>
      <c r="H255" s="12">
        <v>947.841968706854</v>
      </c>
      <c r="I255" s="32">
        <v>1.8764716383350599E-2</v>
      </c>
      <c r="L255" s="38">
        <v>5678.7091739177704</v>
      </c>
      <c r="M255" s="11"/>
      <c r="N255" s="11">
        <f t="shared" si="7"/>
        <v>-18122.601098060601</v>
      </c>
      <c r="P255">
        <f t="shared" si="5"/>
        <v>-947.841968706854</v>
      </c>
    </row>
    <row r="256" spans="2:16" hidden="1" x14ac:dyDescent="0.2">
      <c r="B256" s="12" t="s">
        <v>361</v>
      </c>
      <c r="C256">
        <v>75</v>
      </c>
      <c r="G256" s="12">
        <v>18116.031553983601</v>
      </c>
      <c r="H256" s="12">
        <v>1086.98626678391</v>
      </c>
      <c r="I256" s="32">
        <v>7.7253667644232096E-2</v>
      </c>
      <c r="K256" s="12"/>
      <c r="L256" s="38">
        <v>120.231127023696</v>
      </c>
      <c r="M256" s="11"/>
      <c r="N256" s="11">
        <f t="shared" si="7"/>
        <v>-18116.031553983601</v>
      </c>
      <c r="P256">
        <f t="shared" si="5"/>
        <v>-1086.98626678391</v>
      </c>
    </row>
    <row r="257" spans="2:16" x14ac:dyDescent="0.2">
      <c r="B257" s="12" t="s">
        <v>362</v>
      </c>
      <c r="C257">
        <v>75</v>
      </c>
      <c r="G257">
        <v>18123.363374948502</v>
      </c>
      <c r="H257">
        <v>1211.7418</v>
      </c>
      <c r="I257" s="6" t="s">
        <v>333</v>
      </c>
      <c r="K257" s="12">
        <v>1244.44</v>
      </c>
      <c r="L257" s="38">
        <v>1158.6083111763</v>
      </c>
      <c r="M257" s="11"/>
      <c r="N257" s="11">
        <f t="shared" si="7"/>
        <v>-18123.363374948502</v>
      </c>
      <c r="P257">
        <f t="shared" si="5"/>
        <v>32.698200000000043</v>
      </c>
    </row>
    <row r="258" spans="2:16" hidden="1" x14ac:dyDescent="0.2">
      <c r="B258" s="12" t="s">
        <v>363</v>
      </c>
      <c r="C258">
        <v>75</v>
      </c>
      <c r="H258">
        <v>1049.0849000000001</v>
      </c>
      <c r="I258" s="6">
        <v>8.5199999999999998E-2</v>
      </c>
      <c r="K258" s="12"/>
      <c r="L258" s="38">
        <v>3256.8169479370099</v>
      </c>
      <c r="M258" s="11"/>
      <c r="N258" s="11">
        <f t="shared" si="7"/>
        <v>0</v>
      </c>
      <c r="P258">
        <f t="shared" si="5"/>
        <v>-1049.0849000000001</v>
      </c>
    </row>
    <row r="259" spans="2:16" x14ac:dyDescent="0.2">
      <c r="B259" s="12" t="s">
        <v>364</v>
      </c>
      <c r="C259">
        <v>75</v>
      </c>
      <c r="G259" s="12">
        <v>18134.9468698501</v>
      </c>
      <c r="H259" s="12">
        <v>993.97258314842202</v>
      </c>
      <c r="I259" s="32">
        <v>1.86189376412088E-2</v>
      </c>
      <c r="K259">
        <v>990.85</v>
      </c>
      <c r="L259" s="38">
        <v>103.366485118865</v>
      </c>
      <c r="M259" s="11"/>
      <c r="N259" s="11">
        <f t="shared" si="7"/>
        <v>-18134.9468698501</v>
      </c>
      <c r="P259">
        <f t="shared" si="5"/>
        <v>-3.1225831484219952</v>
      </c>
    </row>
    <row r="260" spans="2:16" x14ac:dyDescent="0.2">
      <c r="B260" s="12" t="s">
        <v>321</v>
      </c>
      <c r="C260">
        <v>75</v>
      </c>
      <c r="G260" s="12">
        <v>13128.602290868699</v>
      </c>
      <c r="H260" s="12">
        <v>1190.59399975412</v>
      </c>
      <c r="I260" s="32" t="s">
        <v>333</v>
      </c>
      <c r="K260" s="12">
        <v>1190.5899999999999</v>
      </c>
      <c r="L260" s="38">
        <v>668.89307403564396</v>
      </c>
      <c r="M260" s="11"/>
      <c r="N260" s="11">
        <f t="shared" si="7"/>
        <v>-13128.602290868699</v>
      </c>
      <c r="P260">
        <f t="shared" si="5"/>
        <v>-3.9997541200591513E-3</v>
      </c>
    </row>
    <row r="261" spans="2:16" x14ac:dyDescent="0.2">
      <c r="B261" s="12" t="s">
        <v>322</v>
      </c>
      <c r="C261">
        <v>75</v>
      </c>
      <c r="G261" s="12">
        <v>18125.041538953701</v>
      </c>
      <c r="H261" s="12">
        <v>1156.78881287481</v>
      </c>
      <c r="I261" s="32">
        <v>1.87872583369771E-2</v>
      </c>
      <c r="K261">
        <v>1161.5999999999999</v>
      </c>
      <c r="L261" s="38">
        <v>4210.4318370819001</v>
      </c>
      <c r="M261" s="11"/>
      <c r="N261" s="11">
        <f t="shared" si="7"/>
        <v>-18125.041538953701</v>
      </c>
      <c r="P261">
        <f t="shared" si="5"/>
        <v>4.8111871251899174</v>
      </c>
    </row>
    <row r="262" spans="2:16" x14ac:dyDescent="0.2">
      <c r="B262" s="12" t="s">
        <v>323</v>
      </c>
      <c r="C262">
        <v>75</v>
      </c>
      <c r="G262" s="12">
        <v>4988.0365579128202</v>
      </c>
      <c r="H262" s="12">
        <v>1052.12027568899</v>
      </c>
      <c r="I262" s="32" t="s">
        <v>333</v>
      </c>
      <c r="J262" s="12">
        <v>5151.7385959625199</v>
      </c>
      <c r="K262" s="12">
        <v>1052.03267092177</v>
      </c>
      <c r="L262" s="38">
        <v>317.73857212066599</v>
      </c>
      <c r="M262" s="11"/>
      <c r="N262" s="11">
        <f t="shared" si="7"/>
        <v>163.70203804969969</v>
      </c>
      <c r="P262">
        <f t="shared" si="5"/>
        <v>-8.7604767220000213E-2</v>
      </c>
    </row>
    <row r="263" spans="2:16" x14ac:dyDescent="0.2">
      <c r="B263" s="12" t="s">
        <v>365</v>
      </c>
      <c r="C263">
        <v>75</v>
      </c>
      <c r="G263" s="12">
        <v>18123.182382106701</v>
      </c>
      <c r="H263" s="12">
        <v>1364.7002202175699</v>
      </c>
      <c r="I263" s="32">
        <v>2.0371029198088201E-2</v>
      </c>
      <c r="K263">
        <v>1361.04</v>
      </c>
      <c r="L263" s="38">
        <v>609.87239003181401</v>
      </c>
      <c r="M263" s="11"/>
      <c r="N263" s="11">
        <f t="shared" si="7"/>
        <v>-18123.182382106701</v>
      </c>
      <c r="P263">
        <f t="shared" si="5"/>
        <v>-3.6602202175699858</v>
      </c>
    </row>
    <row r="264" spans="2:16" hidden="1" x14ac:dyDescent="0.2">
      <c r="B264" s="12" t="s">
        <v>324</v>
      </c>
      <c r="C264">
        <v>75</v>
      </c>
      <c r="G264" s="12">
        <v>5495.5221359729703</v>
      </c>
      <c r="H264" s="12">
        <v>951.58684426628304</v>
      </c>
      <c r="I264" s="32" t="s">
        <v>333</v>
      </c>
      <c r="L264" s="38">
        <v>5297.9232108592896</v>
      </c>
      <c r="M264" s="11"/>
      <c r="N264" s="11">
        <f t="shared" si="7"/>
        <v>-5495.5221359729703</v>
      </c>
      <c r="P264">
        <f t="shared" si="5"/>
        <v>-951.58684426628304</v>
      </c>
    </row>
    <row r="265" spans="2:16" hidden="1" x14ac:dyDescent="0.2">
      <c r="B265" s="12" t="s">
        <v>325</v>
      </c>
      <c r="C265">
        <v>75</v>
      </c>
      <c r="H265" s="12">
        <v>1092.9969000000001</v>
      </c>
      <c r="I265" s="6">
        <v>1.3899999999999999E-2</v>
      </c>
      <c r="L265" s="38">
        <v>720.17260599136296</v>
      </c>
      <c r="M265" s="11"/>
      <c r="N265" s="11">
        <f t="shared" si="7"/>
        <v>0</v>
      </c>
      <c r="P265">
        <f t="shared" si="5"/>
        <v>-1092.9969000000001</v>
      </c>
    </row>
    <row r="266" spans="2:16" x14ac:dyDescent="0.2">
      <c r="B266" s="12" t="s">
        <v>326</v>
      </c>
      <c r="C266">
        <v>75</v>
      </c>
      <c r="G266">
        <v>18122.6504158973</v>
      </c>
      <c r="H266">
        <v>1114.6409239577799</v>
      </c>
      <c r="I266" s="6">
        <v>1.0330000000000001E-2</v>
      </c>
      <c r="K266">
        <v>1112.57</v>
      </c>
      <c r="L266" s="38">
        <v>616.83650088310196</v>
      </c>
      <c r="M266" s="11"/>
      <c r="N266" s="11">
        <f t="shared" si="7"/>
        <v>-18122.6504158973</v>
      </c>
      <c r="P266">
        <f t="shared" si="5"/>
        <v>-2.0709239577799963</v>
      </c>
    </row>
    <row r="267" spans="2:16" x14ac:dyDescent="0.2">
      <c r="B267" s="12" t="s">
        <v>327</v>
      </c>
      <c r="C267">
        <v>75</v>
      </c>
      <c r="G267" s="12">
        <v>18122.6504158973</v>
      </c>
      <c r="H267" s="12">
        <v>1114.6409239577799</v>
      </c>
      <c r="I267" s="32">
        <v>1.0330644799158699E-2</v>
      </c>
      <c r="K267">
        <v>964.04</v>
      </c>
      <c r="L267" s="38">
        <v>3446.5664489269202</v>
      </c>
      <c r="M267" s="11"/>
      <c r="N267" s="11">
        <f t="shared" si="7"/>
        <v>-18122.6504158973</v>
      </c>
      <c r="P267">
        <f t="shared" si="5"/>
        <v>-150.60092395777997</v>
      </c>
    </row>
    <row r="268" spans="2:16" x14ac:dyDescent="0.2">
      <c r="B268" s="12" t="s">
        <v>328</v>
      </c>
      <c r="C268">
        <v>75</v>
      </c>
      <c r="G268" s="12">
        <v>18127.982560157699</v>
      </c>
      <c r="H268" s="12">
        <v>966.30531645151098</v>
      </c>
      <c r="I268" s="32">
        <v>1.01303492948312E-2</v>
      </c>
      <c r="J268" s="12">
        <v>21228.788095951</v>
      </c>
      <c r="K268" s="12">
        <v>1078.7124599480601</v>
      </c>
      <c r="L268" s="38">
        <v>94.735211849212604</v>
      </c>
      <c r="M268" s="11"/>
      <c r="N268" s="11">
        <f t="shared" si="7"/>
        <v>3100.8055357933008</v>
      </c>
      <c r="P268">
        <f t="shared" si="5"/>
        <v>112.40714349654911</v>
      </c>
    </row>
    <row r="269" spans="2:16" x14ac:dyDescent="0.2">
      <c r="B269" s="12" t="s">
        <v>329</v>
      </c>
      <c r="C269">
        <v>75</v>
      </c>
      <c r="G269" s="12">
        <v>18137.8625619411</v>
      </c>
      <c r="H269" s="12">
        <v>1252.6203174064301</v>
      </c>
      <c r="I269" s="32">
        <v>9.8084380828160397E-3</v>
      </c>
      <c r="K269">
        <v>1253.42</v>
      </c>
      <c r="L269" s="38">
        <v>3231.21254992485</v>
      </c>
      <c r="M269" s="11"/>
      <c r="N269" s="11">
        <f t="shared" si="7"/>
        <v>-18137.8625619411</v>
      </c>
      <c r="P269">
        <f t="shared" si="5"/>
        <v>0.79968259356996896</v>
      </c>
    </row>
    <row r="270" spans="2:16" x14ac:dyDescent="0.2">
      <c r="B270" s="12" t="s">
        <v>330</v>
      </c>
      <c r="C270">
        <v>75</v>
      </c>
      <c r="G270" s="12">
        <v>14359.7467529773</v>
      </c>
      <c r="H270" s="12">
        <v>940.63059945557404</v>
      </c>
      <c r="I270" s="32" t="s">
        <v>333</v>
      </c>
      <c r="J270" s="12">
        <v>9066.8442189693396</v>
      </c>
      <c r="K270" s="12">
        <v>940.63059945557495</v>
      </c>
      <c r="L270" s="38">
        <v>2795.3538951873702</v>
      </c>
      <c r="M270" s="11"/>
      <c r="N270" s="11">
        <f t="shared" si="7"/>
        <v>-5292.9025340079606</v>
      </c>
      <c r="P270">
        <f t="shared" si="5"/>
        <v>9.0949470177292824E-13</v>
      </c>
    </row>
    <row r="271" spans="2:16" x14ac:dyDescent="0.2">
      <c r="B271" s="12" t="s">
        <v>366</v>
      </c>
      <c r="C271">
        <v>75</v>
      </c>
      <c r="G271" s="12">
        <v>18116.844224214499</v>
      </c>
      <c r="H271" s="12">
        <v>1115.7540783797999</v>
      </c>
      <c r="I271" s="32">
        <v>7.5947428796686797E-3</v>
      </c>
      <c r="K271">
        <v>1116.58</v>
      </c>
      <c r="M271" s="11"/>
      <c r="N271" s="11">
        <f t="shared" si="7"/>
        <v>-18116.844224214499</v>
      </c>
      <c r="P271">
        <f t="shared" si="5"/>
        <v>0.82592162020000615</v>
      </c>
    </row>
    <row r="272" spans="2:16" x14ac:dyDescent="0.2">
      <c r="B272" s="12" t="s">
        <v>331</v>
      </c>
      <c r="C272">
        <v>75</v>
      </c>
      <c r="G272" s="12">
        <v>5092.4236509799903</v>
      </c>
      <c r="H272" s="12">
        <v>1194.46676216066</v>
      </c>
      <c r="I272" s="32" t="s">
        <v>333</v>
      </c>
      <c r="J272">
        <v>383.72228799999999</v>
      </c>
      <c r="K272">
        <v>1194.47</v>
      </c>
      <c r="M272" s="11"/>
      <c r="N272" s="11">
        <f t="shared" si="7"/>
        <v>-4708.7013629799903</v>
      </c>
      <c r="P272">
        <f t="shared" si="5"/>
        <v>3.2378393400449568E-3</v>
      </c>
    </row>
    <row r="273" spans="2:18" x14ac:dyDescent="0.2">
      <c r="B273" s="12" t="s">
        <v>367</v>
      </c>
      <c r="C273">
        <v>75</v>
      </c>
      <c r="G273" s="12">
        <v>18126.990534067099</v>
      </c>
      <c r="H273" s="12">
        <v>1017.39677278109</v>
      </c>
      <c r="I273" s="32">
        <v>3.07992922120412E-3</v>
      </c>
      <c r="K273">
        <v>1018.03</v>
      </c>
      <c r="M273" s="11"/>
      <c r="N273" s="11">
        <f t="shared" si="7"/>
        <v>-18126.990534067099</v>
      </c>
      <c r="P273">
        <f t="shared" si="5"/>
        <v>0.63322721890995126</v>
      </c>
    </row>
    <row r="274" spans="2:18" x14ac:dyDescent="0.2">
      <c r="B274" s="12" t="s">
        <v>332</v>
      </c>
      <c r="C274">
        <v>75</v>
      </c>
      <c r="G274" s="12">
        <v>14277.5223431587</v>
      </c>
      <c r="H274" s="12">
        <v>1050.01475005119</v>
      </c>
      <c r="I274" s="32" t="s">
        <v>333</v>
      </c>
      <c r="J274" s="12">
        <v>385.353709936141</v>
      </c>
      <c r="K274" s="12">
        <v>1194.46676216066</v>
      </c>
      <c r="M274" s="11"/>
      <c r="N274" s="11">
        <f t="shared" si="7"/>
        <v>-13892.16863322256</v>
      </c>
      <c r="P274">
        <f t="shared" si="5"/>
        <v>144.45201210946993</v>
      </c>
    </row>
    <row r="275" spans="2:18" s="33" customFormat="1" x14ac:dyDescent="0.2">
      <c r="H275" s="35">
        <v>7</v>
      </c>
      <c r="I275" s="34"/>
      <c r="J275" s="33">
        <v>13</v>
      </c>
      <c r="L275" s="36"/>
      <c r="O275" s="33">
        <v>6</v>
      </c>
      <c r="P275" s="33">
        <f>COUNTIF(P215:P274, "&lt;-0.00000001")</f>
        <v>35</v>
      </c>
      <c r="Q275" s="33">
        <f>60-2-35</f>
        <v>23</v>
      </c>
      <c r="R275" s="33">
        <v>2</v>
      </c>
    </row>
    <row r="277" spans="2:18" x14ac:dyDescent="0.2">
      <c r="B277" s="12" t="s">
        <v>301</v>
      </c>
      <c r="C277">
        <v>100</v>
      </c>
      <c r="G277" s="12">
        <v>10859.1637949943</v>
      </c>
      <c r="H277" s="12">
        <v>1310.1190517008399</v>
      </c>
      <c r="I277" s="6">
        <v>4.1687955948571297E-2</v>
      </c>
    </row>
    <row r="278" spans="2:18" x14ac:dyDescent="0.2">
      <c r="B278" s="12" t="s">
        <v>303</v>
      </c>
      <c r="C278">
        <v>100</v>
      </c>
      <c r="K278">
        <v>1292.1600000000001</v>
      </c>
    </row>
    <row r="279" spans="2:18" x14ac:dyDescent="0.2">
      <c r="B279" s="12" t="s">
        <v>304</v>
      </c>
      <c r="C279">
        <v>100</v>
      </c>
      <c r="G279" s="11">
        <v>18128.336843013702</v>
      </c>
      <c r="H279" s="11">
        <v>1306.14391128583</v>
      </c>
      <c r="I279" s="31">
        <v>2.3333383658192101E-2</v>
      </c>
      <c r="L279" s="37"/>
    </row>
    <row r="280" spans="2:18" x14ac:dyDescent="0.2">
      <c r="B280" s="12" t="s">
        <v>342</v>
      </c>
      <c r="C280">
        <v>100</v>
      </c>
      <c r="G280" s="12">
        <v>18103.648283004699</v>
      </c>
      <c r="H280" s="12">
        <v>1673.5246571820001</v>
      </c>
      <c r="I280" s="32">
        <v>4.2023165769860198E-2</v>
      </c>
      <c r="K280">
        <v>1653.47</v>
      </c>
      <c r="L280" s="38"/>
    </row>
    <row r="281" spans="2:18" x14ac:dyDescent="0.2">
      <c r="B281" s="12" t="s">
        <v>305</v>
      </c>
      <c r="C281">
        <v>100</v>
      </c>
      <c r="G281" s="12">
        <v>18095.649312973001</v>
      </c>
      <c r="H281" s="12">
        <v>1221.72528597012</v>
      </c>
      <c r="I281" s="32">
        <v>1.81426317980335E-2</v>
      </c>
      <c r="L281" s="38"/>
    </row>
    <row r="282" spans="2:18" x14ac:dyDescent="0.2">
      <c r="B282" s="12" t="s">
        <v>306</v>
      </c>
      <c r="C282">
        <v>100</v>
      </c>
      <c r="G282" s="12">
        <v>18099.7941589355</v>
      </c>
      <c r="H282" s="12">
        <v>1326.2822173408099</v>
      </c>
      <c r="I282" s="32">
        <v>2.88813184526889E-2</v>
      </c>
      <c r="L282" s="38"/>
    </row>
    <row r="283" spans="2:18" x14ac:dyDescent="0.2">
      <c r="B283" s="12" t="s">
        <v>307</v>
      </c>
      <c r="C283">
        <v>100</v>
      </c>
      <c r="K283">
        <v>1412.96</v>
      </c>
      <c r="L283" s="38"/>
    </row>
    <row r="284" spans="2:18" x14ac:dyDescent="0.2">
      <c r="B284" s="12" t="s">
        <v>308</v>
      </c>
      <c r="C284">
        <v>100</v>
      </c>
      <c r="G284" s="12">
        <v>18090.077286004998</v>
      </c>
      <c r="H284" s="12">
        <v>1159.6356092649301</v>
      </c>
      <c r="I284" s="32">
        <v>2.72468965442056E-2</v>
      </c>
      <c r="K284">
        <v>1154.67</v>
      </c>
      <c r="L284" s="38"/>
    </row>
    <row r="285" spans="2:18" x14ac:dyDescent="0.2">
      <c r="B285" s="12" t="s">
        <v>309</v>
      </c>
      <c r="C285">
        <v>100</v>
      </c>
      <c r="L285" s="38"/>
    </row>
    <row r="286" spans="2:18" x14ac:dyDescent="0.2">
      <c r="B286" s="12" t="s">
        <v>310</v>
      </c>
      <c r="C286">
        <v>100</v>
      </c>
      <c r="G286" s="12">
        <v>18090.345994949301</v>
      </c>
      <c r="H286" s="12">
        <v>1617.0824695271699</v>
      </c>
      <c r="I286" s="32">
        <v>1.8359455531710801E-2</v>
      </c>
      <c r="K286">
        <v>1618.49</v>
      </c>
      <c r="L286" s="38"/>
    </row>
    <row r="287" spans="2:18" x14ac:dyDescent="0.2">
      <c r="B287" s="12" t="s">
        <v>343</v>
      </c>
      <c r="C287">
        <v>100</v>
      </c>
      <c r="K287">
        <v>1225.22</v>
      </c>
      <c r="L287" s="38"/>
    </row>
    <row r="288" spans="2:18" x14ac:dyDescent="0.2">
      <c r="B288" s="12" t="s">
        <v>344</v>
      </c>
      <c r="C288">
        <v>100</v>
      </c>
      <c r="L288" s="38"/>
    </row>
    <row r="289" spans="2:12" x14ac:dyDescent="0.2">
      <c r="B289" s="12" t="s">
        <v>311</v>
      </c>
      <c r="C289">
        <v>100</v>
      </c>
      <c r="K289">
        <v>1523.34</v>
      </c>
      <c r="L289" s="38"/>
    </row>
    <row r="290" spans="2:12" x14ac:dyDescent="0.2">
      <c r="B290" s="12" t="s">
        <v>312</v>
      </c>
      <c r="C290">
        <v>100</v>
      </c>
      <c r="L290" s="38"/>
    </row>
    <row r="291" spans="2:12" x14ac:dyDescent="0.2">
      <c r="B291" s="12" t="s">
        <v>313</v>
      </c>
      <c r="C291">
        <v>100</v>
      </c>
      <c r="G291" s="12">
        <v>18102.651430845199</v>
      </c>
      <c r="H291" s="12">
        <v>1314.16435935392</v>
      </c>
      <c r="I291" s="32">
        <v>1.06167597826683E-2</v>
      </c>
      <c r="K291">
        <v>1321.53</v>
      </c>
      <c r="L291" s="38"/>
    </row>
    <row r="292" spans="2:12" x14ac:dyDescent="0.2">
      <c r="B292" s="12" t="s">
        <v>345</v>
      </c>
      <c r="C292">
        <v>100</v>
      </c>
      <c r="L292" s="38"/>
    </row>
    <row r="293" spans="2:12" x14ac:dyDescent="0.2">
      <c r="B293" s="12" t="s">
        <v>314</v>
      </c>
      <c r="C293">
        <v>100</v>
      </c>
      <c r="G293" s="12">
        <v>18105.9564640522</v>
      </c>
      <c r="H293" s="12">
        <v>1326.9205304228799</v>
      </c>
      <c r="I293" s="32">
        <v>5.57976129732261E-2</v>
      </c>
    </row>
    <row r="294" spans="2:12" x14ac:dyDescent="0.2">
      <c r="B294" s="12" t="s">
        <v>346</v>
      </c>
      <c r="C294">
        <v>100</v>
      </c>
      <c r="G294" s="12">
        <v>18110.415034055699</v>
      </c>
      <c r="H294" s="12">
        <v>1283.37484587992</v>
      </c>
      <c r="I294" s="32">
        <v>8.9697696416069506E-2</v>
      </c>
    </row>
    <row r="295" spans="2:12" x14ac:dyDescent="0.2">
      <c r="B295" s="12" t="s">
        <v>368</v>
      </c>
      <c r="C295">
        <v>100</v>
      </c>
    </row>
    <row r="296" spans="2:12" x14ac:dyDescent="0.2">
      <c r="B296" s="12" t="s">
        <v>369</v>
      </c>
      <c r="C296">
        <v>100</v>
      </c>
    </row>
    <row r="297" spans="2:12" x14ac:dyDescent="0.2">
      <c r="B297" s="12" t="s">
        <v>370</v>
      </c>
      <c r="C297">
        <v>100</v>
      </c>
    </row>
    <row r="298" spans="2:12" x14ac:dyDescent="0.2">
      <c r="B298" s="12" t="s">
        <v>347</v>
      </c>
      <c r="C298">
        <v>100</v>
      </c>
      <c r="J298">
        <v>15261.4437</v>
      </c>
      <c r="K298">
        <v>1429.3117</v>
      </c>
    </row>
    <row r="299" spans="2:12" x14ac:dyDescent="0.2">
      <c r="B299" s="12" t="s">
        <v>348</v>
      </c>
      <c r="C299">
        <v>100</v>
      </c>
    </row>
    <row r="300" spans="2:12" x14ac:dyDescent="0.2">
      <c r="B300" s="12" t="s">
        <v>315</v>
      </c>
      <c r="C300">
        <v>100</v>
      </c>
      <c r="G300" s="12">
        <v>18089.3095388412</v>
      </c>
      <c r="H300" s="12">
        <v>1435.66578695302</v>
      </c>
      <c r="I300" s="32">
        <v>7.2465595271485994E-2</v>
      </c>
    </row>
    <row r="301" spans="2:12" x14ac:dyDescent="0.2">
      <c r="B301" s="12" t="s">
        <v>349</v>
      </c>
      <c r="C301">
        <v>100</v>
      </c>
      <c r="K301">
        <v>1557.74</v>
      </c>
    </row>
    <row r="302" spans="2:12" x14ac:dyDescent="0.2">
      <c r="B302" s="12" t="s">
        <v>316</v>
      </c>
      <c r="C302">
        <v>100</v>
      </c>
    </row>
    <row r="303" spans="2:12" x14ac:dyDescent="0.2">
      <c r="B303" s="12" t="s">
        <v>350</v>
      </c>
      <c r="C303">
        <v>100</v>
      </c>
      <c r="G303" s="12">
        <v>18121.388861179301</v>
      </c>
      <c r="H303" s="12">
        <v>1394.1470300707399</v>
      </c>
      <c r="I303" s="32">
        <v>8.2641608703234906E-2</v>
      </c>
    </row>
    <row r="304" spans="2:12" x14ac:dyDescent="0.2">
      <c r="B304" s="12" t="s">
        <v>351</v>
      </c>
      <c r="C304">
        <v>100</v>
      </c>
      <c r="G304" s="12">
        <v>18101.568466901699</v>
      </c>
      <c r="H304" s="12">
        <v>1555.7443973685599</v>
      </c>
      <c r="I304" s="32">
        <v>5.8750409966574199E-2</v>
      </c>
      <c r="K304">
        <v>1535.05</v>
      </c>
    </row>
    <row r="305" spans="2:12" x14ac:dyDescent="0.2">
      <c r="B305" s="12" t="s">
        <v>352</v>
      </c>
      <c r="C305">
        <v>100</v>
      </c>
    </row>
    <row r="306" spans="2:12" x14ac:dyDescent="0.2">
      <c r="B306" s="12" t="s">
        <v>353</v>
      </c>
      <c r="C306">
        <v>100</v>
      </c>
      <c r="G306" s="12">
        <v>18111.806576967199</v>
      </c>
      <c r="H306" s="12">
        <v>1348.2731305386901</v>
      </c>
      <c r="I306" s="32">
        <v>6.9877950416330201E-2</v>
      </c>
    </row>
    <row r="307" spans="2:12" x14ac:dyDescent="0.2">
      <c r="B307" s="12" t="s">
        <v>354</v>
      </c>
      <c r="C307">
        <v>100</v>
      </c>
    </row>
    <row r="308" spans="2:12" x14ac:dyDescent="0.2">
      <c r="B308" s="12" t="s">
        <v>317</v>
      </c>
      <c r="C308">
        <v>100</v>
      </c>
      <c r="G308" s="12">
        <v>18093.405114173798</v>
      </c>
      <c r="H308" s="12">
        <v>1274.98850900975</v>
      </c>
      <c r="I308" s="32">
        <v>7.7432261878451494E-2</v>
      </c>
    </row>
    <row r="309" spans="2:12" x14ac:dyDescent="0.2">
      <c r="B309" s="12" t="s">
        <v>318</v>
      </c>
      <c r="C309">
        <v>100</v>
      </c>
      <c r="G309" s="12">
        <v>18092.512528181</v>
      </c>
      <c r="H309" s="12">
        <v>1319.2410325692099</v>
      </c>
      <c r="I309" s="32">
        <v>7.7492303391605497E-2</v>
      </c>
    </row>
    <row r="310" spans="2:12" x14ac:dyDescent="0.2">
      <c r="B310" s="12" t="s">
        <v>319</v>
      </c>
      <c r="C310">
        <v>100</v>
      </c>
      <c r="K310">
        <v>1523.55</v>
      </c>
    </row>
    <row r="311" spans="2:12" x14ac:dyDescent="0.2">
      <c r="B311" s="12" t="s">
        <v>320</v>
      </c>
      <c r="C311">
        <v>100</v>
      </c>
      <c r="G311" s="12">
        <v>18099.022219896298</v>
      </c>
      <c r="H311" s="12">
        <v>1205.31213308255</v>
      </c>
      <c r="I311" s="32">
        <v>5.39251033720047E-2</v>
      </c>
    </row>
    <row r="312" spans="2:12" x14ac:dyDescent="0.2">
      <c r="B312" s="12" t="s">
        <v>355</v>
      </c>
      <c r="C312">
        <v>100</v>
      </c>
      <c r="G312" s="12">
        <v>18086.764140844301</v>
      </c>
      <c r="H312" s="12">
        <v>1372.8767119070701</v>
      </c>
      <c r="I312" s="32">
        <v>7.6999506404377402E-2</v>
      </c>
    </row>
    <row r="313" spans="2:12" x14ac:dyDescent="0.2">
      <c r="B313" s="12" t="s">
        <v>356</v>
      </c>
      <c r="C313">
        <v>100</v>
      </c>
      <c r="K313">
        <v>1409.42</v>
      </c>
      <c r="L313" s="38"/>
    </row>
    <row r="314" spans="2:12" x14ac:dyDescent="0.2">
      <c r="B314" s="12" t="s">
        <v>357</v>
      </c>
      <c r="C314">
        <v>100</v>
      </c>
      <c r="G314" s="12">
        <v>18100.265131950298</v>
      </c>
      <c r="H314" s="12">
        <v>1177.17048595449</v>
      </c>
      <c r="I314" s="32">
        <v>2.2459833630975999E-2</v>
      </c>
      <c r="L314" s="38"/>
    </row>
    <row r="315" spans="2:12" x14ac:dyDescent="0.2">
      <c r="B315" s="12" t="s">
        <v>358</v>
      </c>
      <c r="C315">
        <v>100</v>
      </c>
      <c r="G315" s="12">
        <v>18099.569647073698</v>
      </c>
      <c r="H315" s="12">
        <v>1315.54726452355</v>
      </c>
      <c r="I315" s="32">
        <v>3.1937015786546202E-2</v>
      </c>
      <c r="L315" s="38"/>
    </row>
    <row r="316" spans="2:12" x14ac:dyDescent="0.2">
      <c r="B316" s="12" t="s">
        <v>359</v>
      </c>
      <c r="C316">
        <v>100</v>
      </c>
      <c r="K316">
        <v>1566.98</v>
      </c>
      <c r="L316" s="38"/>
    </row>
    <row r="317" spans="2:12" x14ac:dyDescent="0.2">
      <c r="B317" s="12" t="s">
        <v>360</v>
      </c>
      <c r="C317">
        <v>100</v>
      </c>
      <c r="L317" s="38"/>
    </row>
    <row r="318" spans="2:12" x14ac:dyDescent="0.2">
      <c r="B318" s="12" t="s">
        <v>361</v>
      </c>
      <c r="C318">
        <v>100</v>
      </c>
      <c r="G318" s="12">
        <v>18093.567446947</v>
      </c>
      <c r="H318" s="12">
        <v>1315.23611440841</v>
      </c>
      <c r="I318" s="32">
        <v>9.5232034077546199E-2</v>
      </c>
      <c r="L318" s="38"/>
    </row>
    <row r="319" spans="2:12" x14ac:dyDescent="0.2">
      <c r="B319" s="12" t="s">
        <v>362</v>
      </c>
      <c r="C319">
        <v>100</v>
      </c>
      <c r="L319" s="38"/>
    </row>
    <row r="320" spans="2:12" x14ac:dyDescent="0.2">
      <c r="B320" s="12" t="s">
        <v>363</v>
      </c>
      <c r="C320">
        <v>100</v>
      </c>
      <c r="L320" s="38"/>
    </row>
    <row r="321" spans="2:12" x14ac:dyDescent="0.2">
      <c r="B321" s="12" t="s">
        <v>364</v>
      </c>
      <c r="C321">
        <v>100</v>
      </c>
      <c r="G321" s="12">
        <v>18091.865851163799</v>
      </c>
      <c r="H321" s="12">
        <v>1255.18952149394</v>
      </c>
      <c r="I321" s="32">
        <v>4.4614590988219703E-2</v>
      </c>
      <c r="L321" s="38"/>
    </row>
    <row r="322" spans="2:12" x14ac:dyDescent="0.2">
      <c r="B322" s="12" t="s">
        <v>321</v>
      </c>
      <c r="C322">
        <v>100</v>
      </c>
      <c r="G322" s="12">
        <v>18098.4561810493</v>
      </c>
      <c r="H322" s="12">
        <v>1473.3615068951301</v>
      </c>
      <c r="I322" s="32">
        <v>1.23500221860971E-2</v>
      </c>
      <c r="K322">
        <v>1470.12</v>
      </c>
      <c r="L322" s="38"/>
    </row>
    <row r="323" spans="2:12" x14ac:dyDescent="0.2">
      <c r="B323" s="12" t="s">
        <v>322</v>
      </c>
      <c r="C323">
        <v>100</v>
      </c>
      <c r="G323" s="12">
        <v>18099.952999114899</v>
      </c>
      <c r="H323" s="12">
        <v>1441.0608987010501</v>
      </c>
      <c r="I323" s="32">
        <v>2.8070081931982401E-2</v>
      </c>
      <c r="L323" s="38"/>
    </row>
    <row r="324" spans="2:12" x14ac:dyDescent="0.2">
      <c r="B324" s="12" t="s">
        <v>323</v>
      </c>
      <c r="C324">
        <v>100</v>
      </c>
      <c r="G324" s="12">
        <v>18085.380950927702</v>
      </c>
      <c r="H324" s="12">
        <v>1325.2787866261101</v>
      </c>
      <c r="I324" s="32">
        <v>1.7929580483686699E-2</v>
      </c>
      <c r="L324" s="38"/>
    </row>
    <row r="325" spans="2:12" x14ac:dyDescent="0.2">
      <c r="B325" s="12" t="s">
        <v>365</v>
      </c>
      <c r="C325">
        <v>100</v>
      </c>
      <c r="K325">
        <v>1643.75</v>
      </c>
      <c r="L325" s="38"/>
    </row>
    <row r="326" spans="2:12" x14ac:dyDescent="0.2">
      <c r="B326" s="12" t="s">
        <v>324</v>
      </c>
      <c r="C326">
        <v>100</v>
      </c>
      <c r="G326" s="12">
        <v>18091.471298933</v>
      </c>
      <c r="H326" s="12">
        <v>1194.69219525685</v>
      </c>
      <c r="I326" s="32">
        <v>1.36955015752174E-2</v>
      </c>
      <c r="L326" s="38"/>
    </row>
    <row r="327" spans="2:12" x14ac:dyDescent="0.2">
      <c r="B327" s="12" t="s">
        <v>325</v>
      </c>
      <c r="C327">
        <v>100</v>
      </c>
      <c r="G327" s="12">
        <v>18091.625087022701</v>
      </c>
      <c r="H327" s="12">
        <v>1360.6729800231999</v>
      </c>
      <c r="I327" s="32">
        <v>3.48414314414583E-2</v>
      </c>
      <c r="L327" s="38"/>
    </row>
    <row r="328" spans="2:12" x14ac:dyDescent="0.2">
      <c r="B328" s="12" t="s">
        <v>326</v>
      </c>
      <c r="C328">
        <v>100</v>
      </c>
      <c r="K328">
        <v>1381.04</v>
      </c>
      <c r="L328" s="38"/>
    </row>
    <row r="329" spans="2:12" x14ac:dyDescent="0.2">
      <c r="B329" s="12" t="s">
        <v>327</v>
      </c>
      <c r="C329">
        <v>100</v>
      </c>
      <c r="G329" s="12">
        <v>18120.8272769451</v>
      </c>
      <c r="H329" s="12">
        <v>1200.3725917879001</v>
      </c>
      <c r="I329" s="32">
        <v>1.8767124892677001E-2</v>
      </c>
      <c r="L329" s="38"/>
    </row>
    <row r="330" spans="2:12" x14ac:dyDescent="0.2">
      <c r="B330" s="12" t="s">
        <v>328</v>
      </c>
      <c r="C330">
        <v>100</v>
      </c>
      <c r="G330" s="12">
        <v>18110.500921964602</v>
      </c>
      <c r="H330" s="12">
        <v>1331.0232505307999</v>
      </c>
      <c r="I330" s="32">
        <v>1.7121226351737101E-2</v>
      </c>
      <c r="L330" s="38"/>
    </row>
    <row r="331" spans="2:12" x14ac:dyDescent="0.2">
      <c r="B331" s="12" t="s">
        <v>329</v>
      </c>
      <c r="C331">
        <v>100</v>
      </c>
      <c r="G331" s="12">
        <v>18098.051162004402</v>
      </c>
      <c r="H331" s="12">
        <v>1569.7923470401199</v>
      </c>
      <c r="I331" s="32">
        <v>3.5118277886613501E-2</v>
      </c>
      <c r="L331" s="38"/>
    </row>
    <row r="332" spans="2:12" x14ac:dyDescent="0.2">
      <c r="B332" s="12" t="s">
        <v>330</v>
      </c>
      <c r="C332">
        <v>100</v>
      </c>
      <c r="G332" s="12">
        <v>18113.046501874898</v>
      </c>
      <c r="H332" s="12">
        <v>1191.23652763938</v>
      </c>
      <c r="I332" s="32">
        <v>1.94416744693705E-2</v>
      </c>
    </row>
    <row r="333" spans="2:12" x14ac:dyDescent="0.2">
      <c r="B333" s="12" t="s">
        <v>366</v>
      </c>
      <c r="C333">
        <v>100</v>
      </c>
      <c r="G333" s="12">
        <v>18125.185402870098</v>
      </c>
      <c r="H333" s="12">
        <v>1350.3754898903401</v>
      </c>
      <c r="I333" s="32">
        <v>1.12189143680582E-2</v>
      </c>
    </row>
    <row r="334" spans="2:12" x14ac:dyDescent="0.2">
      <c r="B334" s="12" t="s">
        <v>331</v>
      </c>
      <c r="C334">
        <v>100</v>
      </c>
      <c r="K334">
        <v>1545.69</v>
      </c>
    </row>
    <row r="335" spans="2:12" x14ac:dyDescent="0.2">
      <c r="B335" s="12" t="s">
        <v>367</v>
      </c>
      <c r="C335">
        <v>100</v>
      </c>
      <c r="G335" s="12">
        <v>18107.615604162202</v>
      </c>
      <c r="H335" s="12">
        <v>1258.26409567717</v>
      </c>
      <c r="I335" s="32">
        <v>2.0859494032270099E-2</v>
      </c>
    </row>
    <row r="336" spans="2:12" x14ac:dyDescent="0.2">
      <c r="B336" s="12" t="s">
        <v>332</v>
      </c>
      <c r="C336">
        <v>100</v>
      </c>
      <c r="G336" s="12">
        <v>18104.545017003999</v>
      </c>
      <c r="H336" s="12">
        <v>1314.16435935392</v>
      </c>
      <c r="I336" s="32">
        <v>1.10066882100897E-2</v>
      </c>
      <c r="K336">
        <v>1318.55</v>
      </c>
    </row>
    <row r="337" spans="9:12" s="33" customFormat="1" x14ac:dyDescent="0.2">
      <c r="I337" s="34"/>
      <c r="L337" s="36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4FD8-F0D9-2545-9731-5BE7AFDAF396}">
  <dimension ref="A1:Q267"/>
  <sheetViews>
    <sheetView zoomScaleNormal="125" workbookViewId="0">
      <pane ySplit="1" topLeftCell="A136" activePane="bottomLeft" state="frozen"/>
      <selection pane="bottomLeft" activeCell="I27" sqref="I27"/>
    </sheetView>
  </sheetViews>
  <sheetFormatPr baseColWidth="10" defaultRowHeight="16" x14ac:dyDescent="0.2"/>
  <cols>
    <col min="3" max="3" width="12.1640625" bestFit="1" customWidth="1"/>
    <col min="7" max="7" width="10.83203125" style="39"/>
    <col min="14" max="14" width="12.83203125" bestFit="1" customWidth="1"/>
  </cols>
  <sheetData>
    <row r="1" spans="1:14" x14ac:dyDescent="0.2">
      <c r="A1" t="s">
        <v>372</v>
      </c>
      <c r="B1" t="s">
        <v>339</v>
      </c>
      <c r="C1" t="s">
        <v>383</v>
      </c>
      <c r="D1" t="s">
        <v>384</v>
      </c>
      <c r="E1" t="s">
        <v>390</v>
      </c>
      <c r="F1" t="s">
        <v>385</v>
      </c>
      <c r="G1" s="39" t="s">
        <v>386</v>
      </c>
      <c r="I1" t="s">
        <v>387</v>
      </c>
      <c r="J1" t="s">
        <v>388</v>
      </c>
      <c r="K1" t="s">
        <v>389</v>
      </c>
      <c r="L1" t="s">
        <v>391</v>
      </c>
      <c r="M1" t="s">
        <v>392</v>
      </c>
      <c r="N1" t="s">
        <v>34</v>
      </c>
    </row>
    <row r="3" spans="1:14" x14ac:dyDescent="0.2">
      <c r="A3" s="11" t="s">
        <v>105</v>
      </c>
      <c r="B3" s="11">
        <v>20</v>
      </c>
      <c r="C3" s="12">
        <v>14.191533088684</v>
      </c>
      <c r="D3" s="12">
        <v>9.4220111370086599</v>
      </c>
      <c r="E3" s="12">
        <v>1.4451429843902499</v>
      </c>
      <c r="F3" s="12">
        <v>460.40102121365601</v>
      </c>
      <c r="G3" s="40"/>
      <c r="I3" s="11">
        <v>24.224236965179401</v>
      </c>
      <c r="J3" s="11">
        <v>6.4409488009999896</v>
      </c>
      <c r="K3" s="11">
        <v>17.7832881641794</v>
      </c>
      <c r="L3" s="12"/>
    </row>
    <row r="4" spans="1:14" x14ac:dyDescent="0.2">
      <c r="A4" s="12" t="s">
        <v>106</v>
      </c>
      <c r="B4" s="12">
        <v>20</v>
      </c>
      <c r="C4" s="12">
        <v>15.293756008148099</v>
      </c>
      <c r="D4" s="12">
        <v>8.4099998474121094</v>
      </c>
      <c r="E4" s="12">
        <v>3.2459800243377601</v>
      </c>
      <c r="F4" s="12">
        <v>432.62012482485397</v>
      </c>
      <c r="G4" s="41"/>
      <c r="I4" s="12">
        <v>37.498048067092803</v>
      </c>
      <c r="J4" s="12">
        <v>7.7449010689999902</v>
      </c>
      <c r="K4" s="12">
        <v>29.753146998092799</v>
      </c>
      <c r="L4" s="12"/>
    </row>
    <row r="5" spans="1:14" x14ac:dyDescent="0.2">
      <c r="A5" s="12" t="s">
        <v>107</v>
      </c>
      <c r="B5" s="12">
        <v>20</v>
      </c>
      <c r="C5" s="12">
        <v>16.4593811035156</v>
      </c>
      <c r="D5" s="12">
        <v>8.9113521575927699</v>
      </c>
      <c r="E5" s="12">
        <v>4.4111809730529696</v>
      </c>
      <c r="F5" s="12">
        <v>488.12489352275901</v>
      </c>
      <c r="G5" s="41"/>
      <c r="I5" s="12">
        <v>30.156327962875299</v>
      </c>
      <c r="J5" s="12">
        <v>6.9775746600000002</v>
      </c>
      <c r="K5" s="12">
        <v>23.1787533028753</v>
      </c>
      <c r="L5" s="12"/>
    </row>
    <row r="6" spans="1:14" x14ac:dyDescent="0.2">
      <c r="A6" s="12" t="s">
        <v>108</v>
      </c>
      <c r="B6" s="12">
        <v>20</v>
      </c>
      <c r="C6" s="12">
        <v>14.257421016693099</v>
      </c>
      <c r="D6" s="12">
        <v>8.9345881938934308</v>
      </c>
      <c r="E6" s="12">
        <v>2.1790308952331499</v>
      </c>
      <c r="F6" s="12">
        <v>503.85466725470798</v>
      </c>
      <c r="G6" s="41"/>
      <c r="I6" s="12">
        <v>28.987048864364599</v>
      </c>
      <c r="J6" s="12">
        <v>7.0040570359999998</v>
      </c>
      <c r="K6" s="12">
        <v>21.9829918283646</v>
      </c>
      <c r="L6" s="12"/>
    </row>
    <row r="7" spans="1:14" x14ac:dyDescent="0.2">
      <c r="A7" s="12" t="s">
        <v>109</v>
      </c>
      <c r="B7" s="12">
        <v>20</v>
      </c>
      <c r="C7" s="12">
        <v>17.262434005737301</v>
      </c>
      <c r="D7" s="12">
        <v>8.9546389579772896</v>
      </c>
      <c r="E7" s="12">
        <v>5.1457879543304399</v>
      </c>
      <c r="F7" s="12">
        <v>498.34657399158499</v>
      </c>
      <c r="G7" s="41"/>
      <c r="I7" s="12">
        <v>34.560031890869098</v>
      </c>
      <c r="J7" s="12">
        <v>7.6059529249999898</v>
      </c>
      <c r="K7" s="12">
        <v>26.954078965869101</v>
      </c>
      <c r="L7" s="12"/>
    </row>
    <row r="8" spans="1:14" x14ac:dyDescent="0.2">
      <c r="A8" s="12" t="s">
        <v>110</v>
      </c>
      <c r="B8" s="12">
        <v>20</v>
      </c>
      <c r="C8" s="12">
        <v>16.959530830383301</v>
      </c>
      <c r="D8" s="12">
        <v>8.9988410472869802</v>
      </c>
      <c r="E8" s="12">
        <v>4.7784759998321498</v>
      </c>
      <c r="F8" s="12">
        <v>447.895801010284</v>
      </c>
      <c r="G8" s="41"/>
      <c r="I8" s="12">
        <v>18.695288896560601</v>
      </c>
      <c r="J8" s="12">
        <v>6.2164637220000003</v>
      </c>
      <c r="K8" s="12">
        <v>12.478825174560599</v>
      </c>
      <c r="L8" s="12"/>
    </row>
    <row r="9" spans="1:14" x14ac:dyDescent="0.2">
      <c r="A9" s="12" t="s">
        <v>111</v>
      </c>
      <c r="B9" s="12">
        <v>20</v>
      </c>
      <c r="C9" s="12">
        <v>29.198229789733801</v>
      </c>
      <c r="D9" s="12">
        <v>9.0353407859802193</v>
      </c>
      <c r="E9" s="12">
        <v>16.982060909271201</v>
      </c>
      <c r="F9" s="12">
        <v>481.69192412212698</v>
      </c>
      <c r="G9" s="41"/>
      <c r="I9" s="12">
        <v>31.946039199829102</v>
      </c>
      <c r="J9" s="12">
        <v>7.38236474999999</v>
      </c>
      <c r="K9" s="12">
        <v>24.563674449829101</v>
      </c>
      <c r="L9" s="12"/>
    </row>
    <row r="10" spans="1:14" x14ac:dyDescent="0.2">
      <c r="A10" s="12" t="s">
        <v>112</v>
      </c>
      <c r="B10" s="12">
        <v>20</v>
      </c>
      <c r="C10" s="12">
        <v>17.773849010467501</v>
      </c>
      <c r="D10" s="12">
        <v>9.0319399833679199</v>
      </c>
      <c r="E10" s="12">
        <v>5.5497260093688903</v>
      </c>
      <c r="F10" s="12">
        <v>491.14512167105801</v>
      </c>
      <c r="G10" s="41"/>
      <c r="I10" s="12">
        <v>23.876562118530199</v>
      </c>
      <c r="J10" s="12">
        <v>6.2312479979999997</v>
      </c>
      <c r="K10" s="12">
        <v>17.645314120530202</v>
      </c>
      <c r="L10" s="12"/>
    </row>
    <row r="11" spans="1:14" x14ac:dyDescent="0.2">
      <c r="A11" s="12" t="s">
        <v>113</v>
      </c>
      <c r="B11" s="12">
        <v>20</v>
      </c>
      <c r="C11" s="12">
        <v>29.883447885513299</v>
      </c>
      <c r="D11" s="12">
        <v>9.1326539516448904</v>
      </c>
      <c r="E11" s="12">
        <v>17.545295000076202</v>
      </c>
      <c r="F11" s="12">
        <v>519.49433790025</v>
      </c>
      <c r="G11" s="41"/>
      <c r="I11" s="12">
        <v>25.2650401592254</v>
      </c>
      <c r="J11" s="12">
        <v>6.3903228700000003</v>
      </c>
      <c r="K11" s="12">
        <v>18.874717289225401</v>
      </c>
      <c r="L11" s="12"/>
    </row>
    <row r="12" spans="1:14" x14ac:dyDescent="0.2">
      <c r="A12" s="12" t="s">
        <v>114</v>
      </c>
      <c r="B12" s="12">
        <v>20</v>
      </c>
      <c r="C12" s="12">
        <v>20.7825779914855</v>
      </c>
      <c r="D12" s="12">
        <v>8.9900898933410591</v>
      </c>
      <c r="E12" s="12">
        <v>8.6433289051055908</v>
      </c>
      <c r="F12" s="12">
        <v>528.14725754891504</v>
      </c>
      <c r="G12" s="41"/>
      <c r="I12" s="12">
        <v>22.013762950897199</v>
      </c>
      <c r="J12" s="12">
        <v>6.0257308780000001</v>
      </c>
      <c r="K12" s="12">
        <v>15.9880320728972</v>
      </c>
      <c r="L12" s="12"/>
    </row>
    <row r="13" spans="1:14" x14ac:dyDescent="0.2">
      <c r="A13" s="12" t="s">
        <v>115</v>
      </c>
      <c r="B13" s="12">
        <v>20</v>
      </c>
      <c r="C13" s="12">
        <v>21.9199199676513</v>
      </c>
      <c r="D13" s="12">
        <v>8.9959120750427193</v>
      </c>
      <c r="E13" s="12">
        <v>9.7744231224060005</v>
      </c>
      <c r="F13" s="12">
        <v>437.49402617328701</v>
      </c>
      <c r="G13" s="41"/>
      <c r="I13" s="12">
        <v>23.9844710826873</v>
      </c>
      <c r="J13" s="12">
        <v>6.0008318989999996</v>
      </c>
      <c r="K13" s="12">
        <v>17.983639183687298</v>
      </c>
      <c r="L13" s="12"/>
    </row>
    <row r="14" spans="1:14" x14ac:dyDescent="0.2">
      <c r="A14" s="12" t="s">
        <v>117</v>
      </c>
      <c r="B14" s="12">
        <v>20</v>
      </c>
      <c r="C14" s="12">
        <v>137.47506713867099</v>
      </c>
      <c r="D14" s="12">
        <v>9.0026590824127197</v>
      </c>
      <c r="E14" s="12">
        <v>125.307391166687</v>
      </c>
      <c r="F14" s="12">
        <v>459.66418167927799</v>
      </c>
      <c r="G14" s="41"/>
      <c r="I14" s="12">
        <v>77.088351011276202</v>
      </c>
      <c r="J14" s="12">
        <v>13.0231334969999</v>
      </c>
      <c r="K14" s="12">
        <v>64.065217514276199</v>
      </c>
      <c r="L14" s="12"/>
    </row>
    <row r="15" spans="1:14" x14ac:dyDescent="0.2">
      <c r="A15" s="12" t="s">
        <v>118</v>
      </c>
      <c r="B15" s="12">
        <v>20</v>
      </c>
      <c r="C15" s="12">
        <v>24.695704936981201</v>
      </c>
      <c r="D15" s="12">
        <v>9.00023913383483</v>
      </c>
      <c r="E15" s="12">
        <v>12.5507311820983</v>
      </c>
      <c r="F15" s="12">
        <v>477.82494525828298</v>
      </c>
      <c r="G15" s="41"/>
      <c r="I15" s="12">
        <v>36.1825239658355</v>
      </c>
      <c r="J15" s="12">
        <v>7.3860519800000004</v>
      </c>
      <c r="K15" s="12">
        <v>28.796471985835499</v>
      </c>
      <c r="L15" s="12"/>
    </row>
    <row r="16" spans="1:14" x14ac:dyDescent="0.2">
      <c r="A16" s="12" t="s">
        <v>119</v>
      </c>
      <c r="B16" s="12">
        <v>20</v>
      </c>
      <c r="C16" s="12">
        <v>24.789955139160099</v>
      </c>
      <c r="D16" s="12">
        <v>8.7499759197235107</v>
      </c>
      <c r="E16" s="12">
        <v>12.221950054168699</v>
      </c>
      <c r="F16" s="12">
        <v>510.70258009883202</v>
      </c>
      <c r="G16" s="41"/>
      <c r="I16" s="12">
        <v>17.868003129959099</v>
      </c>
      <c r="J16" s="12">
        <v>6.0052126560000003</v>
      </c>
      <c r="K16" s="12">
        <v>11.8627904739591</v>
      </c>
      <c r="L16" s="12"/>
    </row>
    <row r="17" spans="1:17" x14ac:dyDescent="0.2">
      <c r="A17" s="12" t="s">
        <v>120</v>
      </c>
      <c r="B17" s="12">
        <v>20</v>
      </c>
      <c r="C17" s="12">
        <v>21.618174076080301</v>
      </c>
      <c r="D17" s="12">
        <v>9.2651190757751394</v>
      </c>
      <c r="E17" s="12">
        <v>9.0712738037109304</v>
      </c>
      <c r="F17" s="12">
        <v>458.66628567007803</v>
      </c>
      <c r="G17" s="41"/>
      <c r="I17" s="12">
        <v>26.829019069671599</v>
      </c>
      <c r="J17" s="12">
        <v>6.4326867529999996</v>
      </c>
      <c r="K17" s="12">
        <v>20.3963323166716</v>
      </c>
      <c r="L17" s="12"/>
    </row>
    <row r="18" spans="1:17" x14ac:dyDescent="0.2">
      <c r="A18" s="12" t="s">
        <v>121</v>
      </c>
      <c r="B18" s="12">
        <v>20</v>
      </c>
      <c r="C18" s="12">
        <v>13.509906053543</v>
      </c>
      <c r="D18" s="12">
        <v>9.2391641139984095</v>
      </c>
      <c r="E18" s="12">
        <v>0.98904895782470703</v>
      </c>
      <c r="F18" s="12">
        <v>448.79993161339701</v>
      </c>
      <c r="G18" s="41"/>
      <c r="I18" s="12">
        <v>22.9740328788757</v>
      </c>
      <c r="J18" s="12">
        <v>6.1402860249999902</v>
      </c>
      <c r="K18" s="12">
        <v>16.833746853875699</v>
      </c>
      <c r="L18" s="12"/>
    </row>
    <row r="19" spans="1:17" x14ac:dyDescent="0.2">
      <c r="A19" s="12" t="s">
        <v>122</v>
      </c>
      <c r="B19" s="12">
        <v>20</v>
      </c>
      <c r="C19" s="12">
        <v>26.539193153381301</v>
      </c>
      <c r="D19" s="12">
        <v>8.9097480773925692</v>
      </c>
      <c r="E19" s="12">
        <v>14.455299854278501</v>
      </c>
      <c r="F19" s="12">
        <v>462.93316146438701</v>
      </c>
      <c r="G19" s="41"/>
      <c r="I19" s="12">
        <v>41.3051691055297</v>
      </c>
      <c r="J19" s="12">
        <v>8.9426160429999904</v>
      </c>
      <c r="K19" s="12">
        <v>32.362553062529699</v>
      </c>
      <c r="L19" s="12"/>
    </row>
    <row r="20" spans="1:17" x14ac:dyDescent="0.2">
      <c r="A20" s="12" t="s">
        <v>123</v>
      </c>
      <c r="B20" s="12">
        <v>20</v>
      </c>
      <c r="C20" s="12">
        <v>15.074610948562601</v>
      </c>
      <c r="D20" s="12">
        <v>8.9127919673919607</v>
      </c>
      <c r="E20" s="12">
        <v>2.9910218715667698</v>
      </c>
      <c r="F20" s="12">
        <v>484.69557365076997</v>
      </c>
      <c r="G20" s="41"/>
      <c r="I20" s="12">
        <v>23.125941991805998</v>
      </c>
      <c r="J20" s="12">
        <v>6.1914716409999997</v>
      </c>
      <c r="K20" s="12">
        <v>16.934470350805999</v>
      </c>
      <c r="L20" s="12"/>
    </row>
    <row r="21" spans="1:17" x14ac:dyDescent="0.2">
      <c r="A21" s="12" t="s">
        <v>124</v>
      </c>
      <c r="B21" s="12">
        <v>20</v>
      </c>
      <c r="C21" s="12">
        <v>13.169335842132501</v>
      </c>
      <c r="D21" s="12">
        <v>8.9126009941101003</v>
      </c>
      <c r="E21" s="12">
        <v>1.0857291221618599</v>
      </c>
      <c r="F21" s="12">
        <v>513.19132579779796</v>
      </c>
      <c r="G21" s="41"/>
      <c r="I21" s="12">
        <v>17.6177659034729</v>
      </c>
      <c r="J21" s="12">
        <v>6.0435800339999997</v>
      </c>
      <c r="K21" s="12">
        <v>11.574185869472799</v>
      </c>
      <c r="L21" s="12"/>
    </row>
    <row r="22" spans="1:17" x14ac:dyDescent="0.2">
      <c r="A22" s="12" t="s">
        <v>125</v>
      </c>
      <c r="B22" s="12">
        <v>20</v>
      </c>
      <c r="C22" s="12">
        <v>16.4686520099639</v>
      </c>
      <c r="D22" s="12">
        <v>8.9561069011688197</v>
      </c>
      <c r="E22" s="12">
        <v>4.3317818641662598</v>
      </c>
      <c r="F22" s="12">
        <v>477.38884622144298</v>
      </c>
      <c r="G22" s="41"/>
      <c r="I22" s="12">
        <v>22.7024211883544</v>
      </c>
      <c r="J22" s="12">
        <v>6.1010102249999996</v>
      </c>
      <c r="K22" s="12">
        <v>16.6014109633544</v>
      </c>
      <c r="L22" s="12"/>
    </row>
    <row r="23" spans="1:17" s="33" customFormat="1" x14ac:dyDescent="0.2">
      <c r="A23" s="35"/>
      <c r="B23" s="35"/>
      <c r="C23" s="35">
        <f>AVERAGE(C3:C22)</f>
        <v>25.366133999824434</v>
      </c>
      <c r="D23" s="35">
        <f t="shared" ref="D23:K23" si="0">AVERAGE(D3:D22)</f>
        <v>8.9882886648178069</v>
      </c>
      <c r="E23" s="35">
        <f t="shared" si="0"/>
        <v>13.135233032703383</v>
      </c>
      <c r="F23" s="35">
        <f t="shared" si="0"/>
        <v>479.15412903438744</v>
      </c>
      <c r="G23" s="43"/>
      <c r="H23" s="35"/>
      <c r="I23" s="35">
        <f t="shared" si="0"/>
        <v>29.345004320144604</v>
      </c>
      <c r="J23" s="35">
        <f t="shared" si="0"/>
        <v>7.0143222730999923</v>
      </c>
      <c r="K23" s="35">
        <f t="shared" si="0"/>
        <v>22.330682047044597</v>
      </c>
      <c r="L23" s="35"/>
    </row>
    <row r="24" spans="1:17" x14ac:dyDescent="0.2">
      <c r="A24" s="12"/>
      <c r="B24" s="12"/>
      <c r="C24" s="12"/>
      <c r="D24" s="12"/>
      <c r="E24" s="12"/>
      <c r="F24" s="12"/>
      <c r="G24" s="41"/>
      <c r="L24" s="12"/>
      <c r="O24" s="11"/>
    </row>
    <row r="25" spans="1:17" x14ac:dyDescent="0.2">
      <c r="A25" s="12" t="s">
        <v>127</v>
      </c>
      <c r="B25" s="12">
        <v>30</v>
      </c>
      <c r="C25" s="12">
        <v>32.148627996444702</v>
      </c>
      <c r="D25" s="12">
        <v>9.1256349086761404</v>
      </c>
      <c r="E25" s="12">
        <v>18.882795095443701</v>
      </c>
      <c r="F25" s="12">
        <v>614.85426275946395</v>
      </c>
      <c r="I25" s="12">
        <v>42.803416967391897</v>
      </c>
      <c r="J25" s="12">
        <v>5.7622150999999997</v>
      </c>
      <c r="K25" s="12">
        <v>37.041201867391898</v>
      </c>
      <c r="L25" s="12"/>
      <c r="O25" s="11">
        <v>46.073463916778501</v>
      </c>
      <c r="P25" s="11">
        <v>5.7700553660000002</v>
      </c>
      <c r="Q25" s="11">
        <v>40.303408550778499</v>
      </c>
    </row>
    <row r="26" spans="1:17" x14ac:dyDescent="0.2">
      <c r="A26" s="12" t="s">
        <v>128</v>
      </c>
      <c r="B26" s="12">
        <v>30</v>
      </c>
      <c r="C26" s="12">
        <v>40.062150955200103</v>
      </c>
      <c r="D26" s="12">
        <v>9.0555710792541504</v>
      </c>
      <c r="E26" s="12">
        <v>27.153078079223601</v>
      </c>
      <c r="F26" s="12">
        <v>559.29607437413404</v>
      </c>
      <c r="I26" s="12">
        <v>57.823790073394697</v>
      </c>
      <c r="J26" s="12">
        <v>5.7287662629999998</v>
      </c>
      <c r="K26" s="12">
        <v>52.0950238103947</v>
      </c>
      <c r="L26" s="12"/>
      <c r="O26" s="12">
        <v>61.760995149612398</v>
      </c>
      <c r="P26" s="12">
        <v>5.7929758199999997</v>
      </c>
      <c r="Q26" s="12">
        <v>55.968019329612403</v>
      </c>
    </row>
    <row r="27" spans="1:17" x14ac:dyDescent="0.2">
      <c r="A27" s="12" t="s">
        <v>130</v>
      </c>
      <c r="B27" s="12">
        <v>30</v>
      </c>
      <c r="C27" s="12">
        <v>261.31808400154102</v>
      </c>
      <c r="D27" s="12">
        <v>9.0923788547515798</v>
      </c>
      <c r="E27" s="12">
        <v>248.340522050857</v>
      </c>
      <c r="F27" s="12">
        <v>603.52531393768004</v>
      </c>
      <c r="I27" s="12">
        <v>220.95695400238</v>
      </c>
      <c r="J27" s="12">
        <v>5.6962304649999904</v>
      </c>
      <c r="K27" s="12">
        <v>215.26072353737999</v>
      </c>
      <c r="L27" s="12"/>
      <c r="O27" s="12">
        <v>243.74039983749299</v>
      </c>
      <c r="P27" s="12">
        <v>5.4028128979999996</v>
      </c>
      <c r="Q27" s="12">
        <v>238.33758693949301</v>
      </c>
    </row>
    <row r="28" spans="1:17" x14ac:dyDescent="0.2">
      <c r="A28" s="12" t="s">
        <v>132</v>
      </c>
      <c r="B28" s="12">
        <v>30</v>
      </c>
      <c r="C28" s="12">
        <v>43.171558856964097</v>
      </c>
      <c r="D28" s="12">
        <v>9.0616579055786097</v>
      </c>
      <c r="E28" s="12">
        <v>30.1524639129638</v>
      </c>
      <c r="F28" s="12">
        <v>604.43098366082904</v>
      </c>
      <c r="I28" s="12">
        <v>31.189768075942901</v>
      </c>
      <c r="J28" s="12">
        <v>5.7706444960000001</v>
      </c>
      <c r="K28" s="12">
        <v>25.419123579942902</v>
      </c>
      <c r="L28" s="12"/>
      <c r="O28" s="12">
        <v>34.632497072219799</v>
      </c>
      <c r="P28" s="12">
        <v>5.390581493</v>
      </c>
      <c r="Q28" s="12">
        <v>29.2419155792198</v>
      </c>
    </row>
    <row r="29" spans="1:17" x14ac:dyDescent="0.2">
      <c r="A29" s="12" t="s">
        <v>133</v>
      </c>
      <c r="B29" s="12">
        <v>30</v>
      </c>
      <c r="C29" s="12">
        <v>76.137060880660997</v>
      </c>
      <c r="D29" s="12">
        <v>9.1543128490447998</v>
      </c>
      <c r="E29" s="12">
        <v>63.048280954360898</v>
      </c>
      <c r="F29" s="12">
        <v>583.74331877776797</v>
      </c>
      <c r="I29" s="12">
        <v>30.290374040603599</v>
      </c>
      <c r="J29" s="12">
        <v>5.9376268830000001</v>
      </c>
      <c r="K29" s="12">
        <v>24.352747157603599</v>
      </c>
      <c r="L29" s="12"/>
      <c r="O29" s="12">
        <v>32.240117073058997</v>
      </c>
      <c r="P29" s="12">
        <v>5.3646770850000003</v>
      </c>
      <c r="Q29" s="12">
        <v>26.875439988059</v>
      </c>
    </row>
    <row r="30" spans="1:17" x14ac:dyDescent="0.2">
      <c r="A30" s="12" t="s">
        <v>135</v>
      </c>
      <c r="B30" s="12">
        <v>30</v>
      </c>
      <c r="C30" s="12">
        <v>116.697153806686</v>
      </c>
      <c r="D30" s="12">
        <v>8.8864748477935702</v>
      </c>
      <c r="E30" s="12">
        <v>104.629426002502</v>
      </c>
      <c r="F30" s="12">
        <v>617.28649184489598</v>
      </c>
      <c r="I30" s="12">
        <v>97.251887798309298</v>
      </c>
      <c r="J30" s="12">
        <v>5.8903032829999997</v>
      </c>
      <c r="K30" s="12">
        <v>91.361584515309303</v>
      </c>
      <c r="L30" s="12"/>
      <c r="O30" s="12">
        <v>100.65514206886201</v>
      </c>
      <c r="P30" s="12">
        <v>5.4137588970000001</v>
      </c>
      <c r="Q30" s="12">
        <v>95.241383171862907</v>
      </c>
    </row>
    <row r="31" spans="1:17" x14ac:dyDescent="0.2">
      <c r="A31" s="12" t="s">
        <v>136</v>
      </c>
      <c r="B31" s="12">
        <v>30</v>
      </c>
      <c r="C31" s="12">
        <v>40.510666131973203</v>
      </c>
      <c r="D31" s="12">
        <v>8.8914780616760201</v>
      </c>
      <c r="E31" s="12">
        <v>28.441164016723601</v>
      </c>
      <c r="F31" s="12">
        <v>625.33721688231606</v>
      </c>
      <c r="I31" s="12">
        <v>26.083779096603301</v>
      </c>
      <c r="J31" s="12">
        <v>5.9104317960000001</v>
      </c>
      <c r="K31" s="12">
        <v>20.1733473006033</v>
      </c>
      <c r="L31" s="12"/>
      <c r="O31" s="12">
        <v>32.449725866317699</v>
      </c>
      <c r="P31" s="12">
        <v>5.3961903909999904</v>
      </c>
      <c r="Q31" s="12">
        <v>27.053535475317702</v>
      </c>
    </row>
    <row r="32" spans="1:17" x14ac:dyDescent="0.2">
      <c r="A32" s="12" t="s">
        <v>138</v>
      </c>
      <c r="B32" s="12">
        <v>30</v>
      </c>
      <c r="C32" s="12">
        <v>47.978056907653801</v>
      </c>
      <c r="D32" s="12">
        <v>8.5112948417663503</v>
      </c>
      <c r="E32" s="12">
        <v>35.719799995422299</v>
      </c>
      <c r="F32" s="12">
        <v>572.12982116974501</v>
      </c>
      <c r="I32" s="12">
        <v>124.974199771881</v>
      </c>
      <c r="J32" s="12">
        <v>5.8965019009999997</v>
      </c>
      <c r="K32" s="12">
        <v>119.077697870881</v>
      </c>
      <c r="L32" s="12"/>
      <c r="O32" s="12">
        <v>104.304839849472</v>
      </c>
      <c r="P32" s="12">
        <v>5.3741345099999904</v>
      </c>
      <c r="Q32" s="12">
        <v>98.930705339471999</v>
      </c>
    </row>
    <row r="33" spans="1:17" x14ac:dyDescent="0.2">
      <c r="A33" s="12" t="s">
        <v>139</v>
      </c>
      <c r="B33" s="12">
        <v>30</v>
      </c>
      <c r="C33" s="12">
        <v>92.442651987075806</v>
      </c>
      <c r="D33" s="12">
        <v>8.4784209728240896</v>
      </c>
      <c r="E33" s="12">
        <v>80.200037002563406</v>
      </c>
      <c r="F33" s="12">
        <v>573.74043763102497</v>
      </c>
      <c r="I33" s="12">
        <v>101.518867015838</v>
      </c>
      <c r="J33" s="12">
        <v>5.9744571999999998</v>
      </c>
      <c r="K33" s="12">
        <v>95.544409815838605</v>
      </c>
      <c r="L33" s="12"/>
      <c r="O33" s="12">
        <v>104.968868017196</v>
      </c>
      <c r="P33" s="12">
        <v>5.386898854</v>
      </c>
      <c r="Q33" s="12">
        <v>99.581969163196604</v>
      </c>
    </row>
    <row r="34" spans="1:17" x14ac:dyDescent="0.2">
      <c r="A34" s="12" t="s">
        <v>140</v>
      </c>
      <c r="B34" s="12">
        <v>30</v>
      </c>
      <c r="C34" s="12">
        <v>21.828516960144</v>
      </c>
      <c r="D34" s="12">
        <v>8.5551629066467196</v>
      </c>
      <c r="E34" s="12">
        <v>9.4497048854827792</v>
      </c>
      <c r="F34" s="12">
        <v>580.596110855897</v>
      </c>
      <c r="I34" s="12">
        <v>25.128250837326</v>
      </c>
      <c r="J34" s="12">
        <v>5.9522685690000001</v>
      </c>
      <c r="K34" s="12">
        <v>19.175982268325999</v>
      </c>
      <c r="L34" s="12"/>
      <c r="O34" s="12">
        <v>25.118288040161101</v>
      </c>
      <c r="P34" s="12">
        <v>5.384241287</v>
      </c>
      <c r="Q34" s="12">
        <v>19.734046753161099</v>
      </c>
    </row>
    <row r="35" spans="1:17" x14ac:dyDescent="0.2">
      <c r="A35" s="12" t="s">
        <v>141</v>
      </c>
      <c r="B35" s="12">
        <v>30</v>
      </c>
      <c r="C35" s="12">
        <v>140.24062180519101</v>
      </c>
      <c r="D35" s="12">
        <v>8.57057785987854</v>
      </c>
      <c r="E35" s="12">
        <v>127.828909873962</v>
      </c>
      <c r="F35" s="12">
        <v>574.15036143264604</v>
      </c>
      <c r="I35" s="12">
        <v>83.691293954849201</v>
      </c>
      <c r="J35" s="12">
        <v>5.8756277189999997</v>
      </c>
      <c r="K35" s="12">
        <v>77.815666235849207</v>
      </c>
      <c r="L35" s="12"/>
      <c r="O35" s="12">
        <v>90.452172040939303</v>
      </c>
      <c r="P35" s="12">
        <v>5.6239428670000002</v>
      </c>
      <c r="Q35" s="12">
        <v>84.828229173939306</v>
      </c>
    </row>
    <row r="36" spans="1:17" x14ac:dyDescent="0.2">
      <c r="A36" s="12" t="s">
        <v>142</v>
      </c>
      <c r="B36" s="12">
        <v>30</v>
      </c>
      <c r="C36" s="12">
        <v>130.555330991745</v>
      </c>
      <c r="D36" s="12">
        <v>8.5761730670928902</v>
      </c>
      <c r="E36" s="12">
        <v>118.14065098762499</v>
      </c>
      <c r="F36" s="12">
        <v>588.32410208267299</v>
      </c>
      <c r="I36" s="12">
        <v>142.00929307937599</v>
      </c>
      <c r="J36" s="12">
        <v>5.8664055419999999</v>
      </c>
      <c r="K36" s="12">
        <v>136.142887537376</v>
      </c>
      <c r="L36" s="12"/>
      <c r="O36" s="12">
        <v>141.676557064056</v>
      </c>
      <c r="P36" s="12">
        <v>5.8405849129999998</v>
      </c>
      <c r="Q36" s="12">
        <v>135.83597215105601</v>
      </c>
    </row>
    <row r="37" spans="1:17" x14ac:dyDescent="0.2">
      <c r="A37" s="12" t="s">
        <v>143</v>
      </c>
      <c r="B37" s="12">
        <v>30</v>
      </c>
      <c r="C37" s="12">
        <v>32.514884948730398</v>
      </c>
      <c r="D37" s="12">
        <v>8.5683510303497297</v>
      </c>
      <c r="E37" s="12">
        <v>20.1302409172058</v>
      </c>
      <c r="F37" s="12">
        <v>587.46557936022396</v>
      </c>
      <c r="I37" s="12">
        <v>23.865492105484002</v>
      </c>
      <c r="J37" s="12">
        <v>5.9381304750000004</v>
      </c>
      <c r="K37" s="12">
        <v>17.927361630484</v>
      </c>
      <c r="L37" s="12"/>
      <c r="O37" s="12">
        <v>26.1029579639434</v>
      </c>
      <c r="P37" s="12">
        <v>5.5116379909999997</v>
      </c>
      <c r="Q37" s="12">
        <v>20.591319972943399</v>
      </c>
    </row>
    <row r="38" spans="1:17" x14ac:dyDescent="0.2">
      <c r="A38" s="12" t="s">
        <v>144</v>
      </c>
      <c r="B38" s="12">
        <v>30</v>
      </c>
      <c r="C38" s="12">
        <v>44.947959184646599</v>
      </c>
      <c r="D38" s="12">
        <v>8.6825001239776594</v>
      </c>
      <c r="E38" s="12">
        <v>32.490055084228501</v>
      </c>
      <c r="F38" s="12">
        <v>480.45524996468998</v>
      </c>
      <c r="I38" s="12">
        <v>82.5799720287323</v>
      </c>
      <c r="J38" s="12">
        <v>5.9157742449999997</v>
      </c>
      <c r="K38" s="12">
        <v>76.664197783732305</v>
      </c>
      <c r="L38" s="12"/>
      <c r="O38" s="12">
        <v>101.111763954162</v>
      </c>
      <c r="P38" s="12">
        <v>5.5011740580000001</v>
      </c>
      <c r="Q38" s="12">
        <v>95.610589896162594</v>
      </c>
    </row>
    <row r="39" spans="1:17" x14ac:dyDescent="0.2">
      <c r="A39" s="12" t="s">
        <v>145</v>
      </c>
      <c r="B39" s="12">
        <v>30</v>
      </c>
      <c r="C39" s="12">
        <v>68.518781900405799</v>
      </c>
      <c r="D39" s="12">
        <v>8.6966049671173096</v>
      </c>
      <c r="E39" s="12">
        <v>56.012310981750403</v>
      </c>
      <c r="F39" s="12">
        <v>531.18415941058595</v>
      </c>
      <c r="I39" s="12">
        <v>127.80553603172299</v>
      </c>
      <c r="J39" s="12">
        <v>5.9474902649999999</v>
      </c>
      <c r="K39" s="12">
        <v>121.858045766723</v>
      </c>
      <c r="L39" s="12"/>
      <c r="O39" s="12">
        <v>126.509160041809</v>
      </c>
      <c r="P39" s="12">
        <v>5.5303232160000002</v>
      </c>
      <c r="Q39" s="12">
        <v>120.978836825809</v>
      </c>
    </row>
    <row r="40" spans="1:17" x14ac:dyDescent="0.2">
      <c r="A40" s="12" t="s">
        <v>147</v>
      </c>
      <c r="B40" s="12">
        <v>30</v>
      </c>
      <c r="C40" s="12">
        <v>645.94056010246197</v>
      </c>
      <c r="D40" s="12">
        <v>8.6959969997406006</v>
      </c>
      <c r="E40" s="12">
        <v>633.42733812332096</v>
      </c>
      <c r="F40" s="12">
        <v>610.60365361303195</v>
      </c>
      <c r="I40" s="12">
        <v>100.31813097000099</v>
      </c>
      <c r="J40" s="12">
        <v>5.8888156699999996</v>
      </c>
      <c r="K40" s="12">
        <v>94.429315300001207</v>
      </c>
      <c r="L40" s="12"/>
      <c r="O40" s="12">
        <v>96.9473459720611</v>
      </c>
      <c r="P40" s="12">
        <v>5.4982316119999997</v>
      </c>
      <c r="Q40" s="12">
        <v>91.449114360061103</v>
      </c>
    </row>
    <row r="41" spans="1:17" x14ac:dyDescent="0.2">
      <c r="A41" s="12" t="s">
        <v>148</v>
      </c>
      <c r="B41" s="12">
        <v>30</v>
      </c>
      <c r="C41" s="12">
        <v>84.805197000503497</v>
      </c>
      <c r="D41" s="12">
        <v>8.6183640956878609</v>
      </c>
      <c r="E41" s="12">
        <v>72.371718168258596</v>
      </c>
      <c r="F41" s="12">
        <v>572.91542641618901</v>
      </c>
      <c r="I41" s="12">
        <v>93.272456884384098</v>
      </c>
      <c r="J41" s="12">
        <v>5.9246079949999997</v>
      </c>
      <c r="K41" s="12">
        <v>87.347848889384096</v>
      </c>
      <c r="L41" s="12"/>
      <c r="O41" s="12">
        <v>94.185350894927893</v>
      </c>
      <c r="P41" s="12">
        <v>5.5606929259999998</v>
      </c>
      <c r="Q41" s="12">
        <v>88.624657968927906</v>
      </c>
    </row>
    <row r="42" spans="1:17" x14ac:dyDescent="0.2">
      <c r="A42" s="12" t="s">
        <v>149</v>
      </c>
      <c r="B42" s="12">
        <v>30</v>
      </c>
      <c r="C42" s="12">
        <v>833.11369085311799</v>
      </c>
      <c r="D42" s="12">
        <v>8.5411798954009992</v>
      </c>
      <c r="E42" s="12">
        <v>820.75577807426396</v>
      </c>
      <c r="F42" s="12">
        <v>638.62151885975504</v>
      </c>
      <c r="I42" s="12">
        <v>31.897336006164501</v>
      </c>
      <c r="J42" s="12">
        <v>5.9048203409999998</v>
      </c>
      <c r="K42" s="12">
        <v>25.9925156651645</v>
      </c>
      <c r="L42" s="12"/>
      <c r="O42" s="12">
        <v>40.523591995239201</v>
      </c>
      <c r="P42" s="12">
        <v>5.5971000889999996</v>
      </c>
      <c r="Q42" s="12">
        <v>34.9264919062392</v>
      </c>
    </row>
    <row r="43" spans="1:17" x14ac:dyDescent="0.2">
      <c r="A43" s="12" t="s">
        <v>151</v>
      </c>
      <c r="B43" s="12">
        <v>30</v>
      </c>
      <c r="C43" s="12">
        <v>139.05748009681699</v>
      </c>
      <c r="D43" s="12">
        <v>8.5848901271819997</v>
      </c>
      <c r="E43" s="12">
        <v>126.682417869567</v>
      </c>
      <c r="F43" s="12">
        <v>593.39961695471504</v>
      </c>
      <c r="I43" s="12">
        <v>39.461578845977698</v>
      </c>
      <c r="J43" s="12">
        <v>5.8878817159999999</v>
      </c>
      <c r="K43" s="12">
        <v>33.573697129977703</v>
      </c>
      <c r="L43" s="12"/>
      <c r="O43" s="12">
        <v>40.391458988189697</v>
      </c>
      <c r="P43" s="12">
        <v>5.4947760859999999</v>
      </c>
      <c r="Q43" s="12">
        <v>34.896682902189603</v>
      </c>
    </row>
    <row r="44" spans="1:17" x14ac:dyDescent="0.2">
      <c r="A44" s="12" t="s">
        <v>152</v>
      </c>
      <c r="B44" s="12">
        <v>30</v>
      </c>
      <c r="C44" s="12">
        <v>202.58936381340001</v>
      </c>
      <c r="D44" s="12">
        <v>8.6571848392486501</v>
      </c>
      <c r="E44" s="12">
        <v>190.10455989837601</v>
      </c>
      <c r="F44" s="12">
        <v>589.97292258920004</v>
      </c>
      <c r="I44" s="12">
        <v>103.24538803100501</v>
      </c>
      <c r="J44" s="12">
        <v>5.862641816</v>
      </c>
      <c r="K44" s="12">
        <v>97.382746215005795</v>
      </c>
      <c r="L44" s="12"/>
      <c r="O44" s="12">
        <v>103.03921508789</v>
      </c>
      <c r="P44" s="12">
        <v>5.5729499069999999</v>
      </c>
      <c r="Q44" s="12">
        <v>97.466265180890602</v>
      </c>
    </row>
    <row r="45" spans="1:17" x14ac:dyDescent="0.2">
      <c r="A45" s="12" t="s">
        <v>153</v>
      </c>
      <c r="B45" s="12">
        <v>30</v>
      </c>
      <c r="C45" s="12">
        <v>316.12080621719298</v>
      </c>
      <c r="D45" s="12">
        <v>8.6614480018615705</v>
      </c>
      <c r="E45" s="12">
        <v>303.61902999877901</v>
      </c>
      <c r="F45" s="12">
        <v>612.45955220522399</v>
      </c>
      <c r="I45" s="12">
        <v>68.476552963256793</v>
      </c>
      <c r="J45" s="12">
        <v>5.9223992819999998</v>
      </c>
      <c r="K45" s="12">
        <v>62.5541536812568</v>
      </c>
      <c r="L45" s="12"/>
      <c r="O45" s="12">
        <v>75.2004940509796</v>
      </c>
      <c r="P45" s="12">
        <v>5.6011419709999997</v>
      </c>
      <c r="Q45" s="12">
        <v>69.599352079979596</v>
      </c>
    </row>
    <row r="46" spans="1:17" x14ac:dyDescent="0.2">
      <c r="A46" s="12" t="s">
        <v>154</v>
      </c>
      <c r="B46" s="12">
        <v>30</v>
      </c>
      <c r="C46" s="12">
        <v>107.382321119308</v>
      </c>
      <c r="D46" s="12">
        <v>8.3251891136169398</v>
      </c>
      <c r="E46" s="12">
        <v>95.284131050109806</v>
      </c>
      <c r="F46" s="12">
        <v>621.45718928799397</v>
      </c>
      <c r="I46" s="12">
        <v>230.85933113098099</v>
      </c>
      <c r="J46" s="12">
        <v>5.996619666</v>
      </c>
      <c r="K46" s="12">
        <v>224.862711464981</v>
      </c>
      <c r="L46" s="12"/>
      <c r="O46" s="12">
        <v>221.77232480049099</v>
      </c>
      <c r="P46" s="12">
        <v>5.6020414919999997</v>
      </c>
      <c r="Q46" s="12">
        <v>216.17028330849101</v>
      </c>
    </row>
    <row r="47" spans="1:17" x14ac:dyDescent="0.2">
      <c r="A47" s="12" t="s">
        <v>155</v>
      </c>
      <c r="B47" s="12">
        <v>30</v>
      </c>
      <c r="C47" s="12">
        <v>516.85038113593998</v>
      </c>
      <c r="D47" s="12">
        <v>8.3076879978179896</v>
      </c>
      <c r="E47" s="12">
        <v>504.854492902755</v>
      </c>
      <c r="F47" s="12">
        <v>563.21653164787801</v>
      </c>
      <c r="I47" s="12">
        <v>92.107622861862097</v>
      </c>
      <c r="J47" s="12">
        <v>5.9480871559999997</v>
      </c>
      <c r="K47" s="12">
        <v>86.159535705862098</v>
      </c>
      <c r="L47" s="12"/>
      <c r="O47" s="12">
        <v>93.446759939193697</v>
      </c>
      <c r="P47" s="12">
        <v>5.6179385460000004</v>
      </c>
      <c r="Q47" s="12">
        <v>87.828821393193707</v>
      </c>
    </row>
    <row r="48" spans="1:17" x14ac:dyDescent="0.2">
      <c r="A48" s="12" t="s">
        <v>156</v>
      </c>
      <c r="B48" s="12">
        <v>30</v>
      </c>
      <c r="C48" s="12">
        <v>102.305161952972</v>
      </c>
      <c r="D48" s="12">
        <v>8.4500839710235596</v>
      </c>
      <c r="E48" s="12">
        <v>90.053853034973102</v>
      </c>
      <c r="F48" s="12">
        <v>594.74787256859804</v>
      </c>
      <c r="I48" s="12">
        <v>29.270648002624501</v>
      </c>
      <c r="J48" s="12">
        <v>6.2698828730000002</v>
      </c>
      <c r="K48" s="12">
        <v>23.000765129624501</v>
      </c>
      <c r="L48" s="12"/>
      <c r="O48" s="12">
        <v>30.581846952438301</v>
      </c>
      <c r="P48" s="12">
        <v>5.5433060469999997</v>
      </c>
      <c r="Q48" s="12">
        <v>25.0385409054383</v>
      </c>
    </row>
    <row r="49" spans="1:17" x14ac:dyDescent="0.2">
      <c r="A49" s="12" t="s">
        <v>157</v>
      </c>
      <c r="B49" s="12">
        <v>30</v>
      </c>
      <c r="C49" s="12">
        <v>70.105005979537907</v>
      </c>
      <c r="D49" s="12">
        <v>8.4759418964385898</v>
      </c>
      <c r="E49" s="12">
        <v>57.788078069686797</v>
      </c>
      <c r="F49" s="12">
        <v>601.56933216000004</v>
      </c>
      <c r="I49" s="12">
        <v>30.3321819305419</v>
      </c>
      <c r="J49" s="12">
        <v>5.9420266379999997</v>
      </c>
      <c r="K49" s="12">
        <v>24.390155292541898</v>
      </c>
      <c r="L49" s="12"/>
      <c r="O49" s="12">
        <v>29.880817174911499</v>
      </c>
      <c r="P49" s="12">
        <v>5.3527778039999996</v>
      </c>
      <c r="Q49" s="12">
        <v>24.5280393709115</v>
      </c>
    </row>
    <row r="50" spans="1:17" x14ac:dyDescent="0.2">
      <c r="A50" s="12" t="s">
        <v>158</v>
      </c>
      <c r="B50" s="12">
        <v>30</v>
      </c>
      <c r="C50" s="12">
        <v>266.782120943069</v>
      </c>
      <c r="D50" s="12">
        <v>8.7381539344787598</v>
      </c>
      <c r="E50" s="12">
        <v>254.185924053192</v>
      </c>
      <c r="F50" s="12">
        <v>562.420263477714</v>
      </c>
      <c r="I50" s="12">
        <v>141.65719604492099</v>
      </c>
      <c r="J50" s="12">
        <v>5.9772163100000002</v>
      </c>
      <c r="K50" s="12">
        <v>135.67997973492101</v>
      </c>
      <c r="L50" s="12"/>
      <c r="O50" s="12">
        <v>143.794810056686</v>
      </c>
      <c r="P50" s="12">
        <v>5.4546551450000003</v>
      </c>
      <c r="Q50" s="12">
        <v>138.340154911686</v>
      </c>
    </row>
    <row r="51" spans="1:17" x14ac:dyDescent="0.2">
      <c r="A51" s="12" t="s">
        <v>159</v>
      </c>
      <c r="B51" s="12">
        <v>30</v>
      </c>
      <c r="C51" s="12">
        <v>349.93204212188698</v>
      </c>
      <c r="D51" s="12">
        <v>8.4933691024780202</v>
      </c>
      <c r="E51" s="12">
        <v>337.77941608428898</v>
      </c>
      <c r="F51" s="12">
        <v>583.76259724559895</v>
      </c>
      <c r="I51" s="12">
        <v>47.746204853057797</v>
      </c>
      <c r="J51" s="12">
        <v>5.928682749</v>
      </c>
      <c r="K51" s="12">
        <v>41.817522104057801</v>
      </c>
      <c r="L51" s="12"/>
      <c r="O51" s="12">
        <v>59.654436111450103</v>
      </c>
      <c r="P51" s="12">
        <v>5.5417962999999997</v>
      </c>
      <c r="Q51" s="12">
        <v>54.112639811450101</v>
      </c>
    </row>
    <row r="52" spans="1:17" x14ac:dyDescent="0.2">
      <c r="A52" s="12" t="s">
        <v>161</v>
      </c>
      <c r="B52" s="12">
        <v>30</v>
      </c>
      <c r="C52" s="12">
        <v>87.419045925140296</v>
      </c>
      <c r="D52" s="12">
        <v>8.6313788890838605</v>
      </c>
      <c r="E52" s="12">
        <v>74.897087812423706</v>
      </c>
      <c r="F52" s="12">
        <v>580.46824533446795</v>
      </c>
      <c r="I52" s="12">
        <v>42.504031896591101</v>
      </c>
      <c r="J52" s="12">
        <v>5.9192172919999999</v>
      </c>
      <c r="K52" s="12">
        <v>36.584814604591102</v>
      </c>
      <c r="L52" s="12"/>
      <c r="O52" s="12">
        <v>41.609638929367001</v>
      </c>
      <c r="P52" s="12">
        <v>5.463628419</v>
      </c>
      <c r="Q52" s="12">
        <v>36.146010510366999</v>
      </c>
    </row>
    <row r="53" spans="1:17" x14ac:dyDescent="0.2">
      <c r="A53" s="12" t="s">
        <v>162</v>
      </c>
      <c r="B53" s="12">
        <v>30</v>
      </c>
      <c r="C53" s="12">
        <v>519.03621196746803</v>
      </c>
      <c r="D53" s="12">
        <v>8.6164951324462802</v>
      </c>
      <c r="E53" s="12">
        <v>506.61633610725403</v>
      </c>
      <c r="F53" s="12">
        <v>523.21459560677499</v>
      </c>
      <c r="I53" s="12">
        <v>94.128569841384802</v>
      </c>
      <c r="J53" s="12">
        <v>5.8844306929999997</v>
      </c>
      <c r="K53" s="12">
        <v>88.244139148384804</v>
      </c>
      <c r="L53" s="12"/>
      <c r="O53" s="12">
        <v>136.399317979812</v>
      </c>
      <c r="P53" s="12">
        <v>5.4495273529999997</v>
      </c>
      <c r="Q53" s="12">
        <v>130.94979062681199</v>
      </c>
    </row>
    <row r="54" spans="1:17" x14ac:dyDescent="0.2">
      <c r="A54" s="12" t="s">
        <v>163</v>
      </c>
      <c r="B54" s="12">
        <v>30</v>
      </c>
      <c r="C54" s="12">
        <v>180.027848005294</v>
      </c>
      <c r="D54" s="12">
        <v>8.7124330997467005</v>
      </c>
      <c r="E54" s="12">
        <v>167.43354606628401</v>
      </c>
      <c r="F54" s="12">
        <v>543.334772706948</v>
      </c>
      <c r="I54" s="12">
        <v>642.30628418922402</v>
      </c>
      <c r="J54" s="12">
        <v>6.0047017360000003</v>
      </c>
      <c r="K54" s="12">
        <v>636.301582453224</v>
      </c>
      <c r="L54" s="12"/>
      <c r="O54" s="12">
        <v>642.37295103073097</v>
      </c>
      <c r="P54" s="12">
        <v>5.4260607250000001</v>
      </c>
      <c r="Q54" s="12">
        <v>636.94689030573102</v>
      </c>
    </row>
    <row r="55" spans="1:17" x14ac:dyDescent="0.2">
      <c r="A55" s="12" t="s">
        <v>164</v>
      </c>
      <c r="B55" s="12">
        <v>30</v>
      </c>
      <c r="C55" s="12">
        <v>62.672445058822603</v>
      </c>
      <c r="D55" s="12">
        <v>8.6770129203796298</v>
      </c>
      <c r="E55" s="12">
        <v>50.181123971939002</v>
      </c>
      <c r="F55" s="12">
        <v>548.77752458700695</v>
      </c>
      <c r="I55" s="12">
        <v>40.232940912246697</v>
      </c>
      <c r="J55" s="12">
        <v>5.8800731179999897</v>
      </c>
      <c r="K55" s="12">
        <v>34.352867794246698</v>
      </c>
      <c r="L55" s="12"/>
      <c r="O55" s="12">
        <v>41.4935300350189</v>
      </c>
      <c r="P55" s="12">
        <v>5.41070004</v>
      </c>
      <c r="Q55" s="12">
        <v>36.082829995018898</v>
      </c>
    </row>
    <row r="56" spans="1:17" x14ac:dyDescent="0.2">
      <c r="A56" s="12" t="s">
        <v>165</v>
      </c>
      <c r="B56" s="12">
        <v>30</v>
      </c>
      <c r="C56" s="12">
        <v>139.67212581634499</v>
      </c>
      <c r="D56" s="12">
        <v>8.7291429042816109</v>
      </c>
      <c r="E56" s="12">
        <v>127.08560299873299</v>
      </c>
      <c r="F56" s="12">
        <v>563.31508522102502</v>
      </c>
      <c r="I56" s="12">
        <v>227.324532985687</v>
      </c>
      <c r="J56" s="12">
        <v>5.9093453689999897</v>
      </c>
      <c r="K56" s="12">
        <v>221.41518761668701</v>
      </c>
      <c r="L56" s="12"/>
      <c r="O56" s="12">
        <v>314.589121103286</v>
      </c>
      <c r="P56" s="12">
        <v>5.4087193500000001</v>
      </c>
      <c r="Q56" s="12">
        <v>309.18040175328599</v>
      </c>
    </row>
    <row r="57" spans="1:17" x14ac:dyDescent="0.2">
      <c r="A57" s="12" t="s">
        <v>167</v>
      </c>
      <c r="B57" s="12">
        <v>30</v>
      </c>
      <c r="C57" s="12">
        <v>1009.3350510597199</v>
      </c>
      <c r="D57" s="12">
        <v>8.6498920917510898</v>
      </c>
      <c r="E57" s="12">
        <v>996.825371026992</v>
      </c>
      <c r="F57" s="12">
        <v>584.75837755116697</v>
      </c>
      <c r="I57" s="12">
        <v>53.635728836059499</v>
      </c>
      <c r="J57" s="12">
        <v>5.9969974620000004</v>
      </c>
      <c r="K57" s="12">
        <v>47.638731374059503</v>
      </c>
      <c r="L57" s="12"/>
      <c r="O57" s="12">
        <v>59.891886949539099</v>
      </c>
      <c r="P57" s="12">
        <v>5.4268494699999996</v>
      </c>
      <c r="Q57" s="12">
        <v>54.465037479539099</v>
      </c>
    </row>
    <row r="58" spans="1:17" x14ac:dyDescent="0.2">
      <c r="A58" s="12" t="s">
        <v>168</v>
      </c>
      <c r="B58" s="12">
        <v>30</v>
      </c>
      <c r="C58" s="12">
        <v>155.60394120216301</v>
      </c>
      <c r="D58" s="12">
        <v>8.3946080207824707</v>
      </c>
      <c r="E58" s="12">
        <v>143.45955991744901</v>
      </c>
      <c r="F58" s="12">
        <v>594.34685666156497</v>
      </c>
      <c r="I58" s="12">
        <v>31.559403181076</v>
      </c>
      <c r="J58" s="12">
        <v>5.9767089349999996</v>
      </c>
      <c r="K58" s="12">
        <v>25.582694246075999</v>
      </c>
      <c r="L58" s="12"/>
      <c r="O58" s="12">
        <v>30.920575141906699</v>
      </c>
      <c r="P58" s="12">
        <v>5.4146589019999896</v>
      </c>
      <c r="Q58" s="12">
        <v>25.5059162399067</v>
      </c>
    </row>
    <row r="59" spans="1:17" x14ac:dyDescent="0.2">
      <c r="A59" s="12" t="s">
        <v>170</v>
      </c>
      <c r="B59" s="12">
        <v>30</v>
      </c>
      <c r="C59" s="12">
        <v>408.57488107681201</v>
      </c>
      <c r="D59" s="12">
        <v>8.8423309326171804</v>
      </c>
      <c r="E59" s="12">
        <v>395.85361790656998</v>
      </c>
      <c r="F59" s="12">
        <v>557.62237018267695</v>
      </c>
      <c r="I59" s="12">
        <v>118.619373083114</v>
      </c>
      <c r="J59" s="12">
        <v>5.892692308</v>
      </c>
      <c r="K59" s="12">
        <v>112.726680775114</v>
      </c>
      <c r="L59" s="12"/>
      <c r="O59" s="12">
        <v>116.98357915878201</v>
      </c>
      <c r="P59" s="12">
        <v>5.3995462099999996</v>
      </c>
      <c r="Q59" s="12">
        <v>111.584032948782</v>
      </c>
    </row>
    <row r="60" spans="1:17" x14ac:dyDescent="0.2">
      <c r="A60" s="12" t="s">
        <v>171</v>
      </c>
      <c r="B60" s="12">
        <v>30</v>
      </c>
      <c r="C60" s="12">
        <v>331.273252010345</v>
      </c>
      <c r="D60" s="12">
        <v>8.8495569229125906</v>
      </c>
      <c r="E60" s="12">
        <v>318.50288105010901</v>
      </c>
      <c r="F60" s="12">
        <v>599.36868580408805</v>
      </c>
      <c r="I60" s="12">
        <v>72.961813926696706</v>
      </c>
      <c r="J60" s="12">
        <v>5.9074768740000003</v>
      </c>
      <c r="K60" s="12">
        <v>67.054337052696695</v>
      </c>
      <c r="L60" s="12"/>
      <c r="O60" s="12">
        <v>70.412250041961599</v>
      </c>
      <c r="P60" s="12">
        <v>5.2599557399999997</v>
      </c>
      <c r="Q60" s="12">
        <v>65.152294301961604</v>
      </c>
    </row>
    <row r="61" spans="1:17" x14ac:dyDescent="0.2">
      <c r="A61" s="12" t="s">
        <v>172</v>
      </c>
      <c r="B61" s="12">
        <v>30</v>
      </c>
      <c r="C61" s="12">
        <v>172.40795397758399</v>
      </c>
      <c r="D61" s="12">
        <v>8.7112348079681396</v>
      </c>
      <c r="E61" s="12">
        <v>159.85910201072599</v>
      </c>
      <c r="F61" s="12">
        <v>585.99256243495995</v>
      </c>
      <c r="I61" s="12">
        <v>276.73401999473498</v>
      </c>
      <c r="J61" s="12">
        <v>5.8941695919999999</v>
      </c>
      <c r="K61" s="12">
        <v>270.83985040273501</v>
      </c>
      <c r="L61" s="12"/>
      <c r="O61" s="12">
        <v>267.13607501983603</v>
      </c>
      <c r="P61" s="12">
        <v>5.2965240739999997</v>
      </c>
      <c r="Q61" s="12">
        <v>261.83955094583598</v>
      </c>
    </row>
    <row r="62" spans="1:17" x14ac:dyDescent="0.2">
      <c r="A62" s="12" t="s">
        <v>174</v>
      </c>
      <c r="B62" s="12">
        <v>30</v>
      </c>
      <c r="C62" s="12">
        <v>1848.2703549861899</v>
      </c>
      <c r="D62" s="12">
        <v>8.7449979782104492</v>
      </c>
      <c r="E62" s="12">
        <v>1835.67235207557</v>
      </c>
      <c r="F62" s="12">
        <v>578.95401001361301</v>
      </c>
      <c r="I62" s="12">
        <v>158.65121603012</v>
      </c>
      <c r="J62" s="12">
        <v>5.8720720589999997</v>
      </c>
      <c r="K62" s="12">
        <v>152.77914397111999</v>
      </c>
      <c r="L62" s="12"/>
      <c r="O62" s="12">
        <v>132.013765096664</v>
      </c>
      <c r="P62" s="12">
        <v>5.4536147679999996</v>
      </c>
      <c r="Q62" s="12">
        <v>126.56015032866399</v>
      </c>
    </row>
    <row r="63" spans="1:17" x14ac:dyDescent="0.2">
      <c r="A63" s="12" t="s">
        <v>175</v>
      </c>
      <c r="B63" s="12">
        <v>30</v>
      </c>
      <c r="C63" s="12">
        <v>344.81698894500698</v>
      </c>
      <c r="D63" s="12">
        <v>8.7553539276122994</v>
      </c>
      <c r="E63" s="12">
        <v>332.170631885528</v>
      </c>
      <c r="F63" s="12">
        <v>579.09016070697101</v>
      </c>
      <c r="I63" s="12">
        <v>33.077321052551198</v>
      </c>
      <c r="J63" s="12">
        <v>5.9191975670000003</v>
      </c>
      <c r="K63" s="12">
        <v>27.158123485551201</v>
      </c>
      <c r="L63" s="12"/>
      <c r="O63" s="12">
        <v>36.739910840988102</v>
      </c>
      <c r="P63" s="12">
        <v>5.3696502279999896</v>
      </c>
      <c r="Q63" s="12">
        <v>31.370260612988101</v>
      </c>
    </row>
    <row r="64" spans="1:17" x14ac:dyDescent="0.2">
      <c r="A64" s="12" t="s">
        <v>176</v>
      </c>
      <c r="B64" s="12">
        <v>30</v>
      </c>
      <c r="C64" s="12">
        <v>132.08996415138199</v>
      </c>
      <c r="D64" s="12">
        <v>8.5004310607910103</v>
      </c>
      <c r="E64" s="12">
        <v>119.896944999694</v>
      </c>
      <c r="F64" s="12">
        <v>574.24204541515599</v>
      </c>
      <c r="I64" s="12">
        <v>36.279848098754798</v>
      </c>
      <c r="J64" s="12">
        <v>6.0038102549999897</v>
      </c>
      <c r="K64" s="12">
        <v>30.2760378437548</v>
      </c>
      <c r="L64" s="12"/>
      <c r="O64" s="12">
        <v>43.898741006851097</v>
      </c>
      <c r="P64" s="12">
        <v>5.1173493219999999</v>
      </c>
      <c r="Q64" s="12">
        <v>38.781391684851101</v>
      </c>
    </row>
    <row r="65" spans="1:17" x14ac:dyDescent="0.2">
      <c r="A65" s="12" t="s">
        <v>177</v>
      </c>
      <c r="B65" s="12">
        <v>30</v>
      </c>
      <c r="C65" s="12">
        <v>414.34153413772498</v>
      </c>
      <c r="D65" s="12">
        <v>8.4408011436462402</v>
      </c>
      <c r="E65" s="12">
        <v>402.14590501785199</v>
      </c>
      <c r="F65" s="12">
        <v>542.67434682730698</v>
      </c>
      <c r="I65" s="12">
        <v>137.667982816696</v>
      </c>
      <c r="J65" s="12">
        <v>5.8971488079999999</v>
      </c>
      <c r="K65" s="12">
        <v>131.770834008696</v>
      </c>
      <c r="O65" s="12">
        <v>489.21537518501202</v>
      </c>
      <c r="P65" s="12">
        <v>5.664730789</v>
      </c>
      <c r="Q65" s="12">
        <v>483.55064439601199</v>
      </c>
    </row>
    <row r="66" spans="1:17" x14ac:dyDescent="0.2">
      <c r="A66" s="12" t="s">
        <v>179</v>
      </c>
      <c r="B66" s="12">
        <v>30</v>
      </c>
      <c r="C66" s="12">
        <v>431.43877696990899</v>
      </c>
      <c r="D66" s="12">
        <v>8.73111701011657</v>
      </c>
      <c r="E66" s="12">
        <v>418.84187698364201</v>
      </c>
      <c r="F66" s="12">
        <v>544.52084232311404</v>
      </c>
      <c r="I66" s="12">
        <v>32.154435157775801</v>
      </c>
      <c r="J66" s="12">
        <v>6.0014238729999896</v>
      </c>
      <c r="K66" s="12">
        <v>26.153011284775801</v>
      </c>
      <c r="O66" s="12">
        <v>32.452550172805701</v>
      </c>
      <c r="P66" s="12">
        <v>5.4548742099999998</v>
      </c>
      <c r="Q66" s="12">
        <v>26.997675962805701</v>
      </c>
    </row>
    <row r="67" spans="1:17" x14ac:dyDescent="0.2">
      <c r="A67" s="12" t="s">
        <v>180</v>
      </c>
      <c r="B67" s="12">
        <v>30</v>
      </c>
      <c r="C67" s="12">
        <v>539.12581205367997</v>
      </c>
      <c r="D67" s="12">
        <v>8.7338259220123202</v>
      </c>
      <c r="E67" s="12">
        <v>526.53382182121197</v>
      </c>
      <c r="F67" s="12">
        <v>581.37177342506004</v>
      </c>
      <c r="I67" s="12">
        <v>153.21185612678499</v>
      </c>
      <c r="J67" s="12">
        <v>5.9899835220000002</v>
      </c>
      <c r="K67" s="12">
        <v>147.22187260478501</v>
      </c>
      <c r="O67" s="12">
        <v>155.023331880569</v>
      </c>
      <c r="P67" s="12">
        <v>5.4314882779999998</v>
      </c>
      <c r="Q67" s="12">
        <v>149.59184360256901</v>
      </c>
    </row>
    <row r="68" spans="1:17" x14ac:dyDescent="0.2">
      <c r="A68" s="12" t="s">
        <v>182</v>
      </c>
      <c r="B68" s="12">
        <v>30</v>
      </c>
      <c r="C68" s="12">
        <v>583.49725103378296</v>
      </c>
      <c r="D68" s="12">
        <v>8.4793949127197195</v>
      </c>
      <c r="E68" s="12">
        <v>571.24766492843605</v>
      </c>
      <c r="F68" s="12">
        <v>466.675332194129</v>
      </c>
      <c r="I68" s="12">
        <v>130.60442590713501</v>
      </c>
      <c r="J68" s="12">
        <v>5.6818166249999997</v>
      </c>
      <c r="K68" s="12">
        <v>124.922609282135</v>
      </c>
      <c r="O68" s="12">
        <v>146.38853192329401</v>
      </c>
      <c r="P68" s="12">
        <v>5.4164083489999904</v>
      </c>
      <c r="Q68" s="12">
        <v>140.97212357429399</v>
      </c>
    </row>
    <row r="69" spans="1:17" x14ac:dyDescent="0.2">
      <c r="A69" s="12" t="s">
        <v>183</v>
      </c>
      <c r="B69" s="12">
        <v>30</v>
      </c>
      <c r="C69" s="12">
        <v>219.023464918136</v>
      </c>
      <c r="D69" s="12">
        <v>8.4381778240203804</v>
      </c>
      <c r="E69" s="12">
        <v>206.83266305923399</v>
      </c>
      <c r="F69" s="12">
        <v>500.72101593529601</v>
      </c>
      <c r="I69" s="12">
        <v>25.9184248447418</v>
      </c>
      <c r="J69" s="12">
        <v>5.7177482089999998</v>
      </c>
      <c r="K69" s="12">
        <v>20.2006766357418</v>
      </c>
      <c r="O69" s="12">
        <v>26.199272871017399</v>
      </c>
      <c r="P69" s="12">
        <v>5.4535662360000003</v>
      </c>
      <c r="Q69" s="12">
        <v>20.745706635017399</v>
      </c>
    </row>
    <row r="70" spans="1:17" x14ac:dyDescent="0.2">
      <c r="A70" s="12" t="s">
        <v>184</v>
      </c>
      <c r="B70" s="12">
        <v>30</v>
      </c>
      <c r="C70" s="12">
        <v>20.143506050109799</v>
      </c>
      <c r="D70" s="12">
        <v>8.5029890537261892</v>
      </c>
      <c r="E70" s="12">
        <v>7.9344840049743599</v>
      </c>
      <c r="F70" s="12">
        <v>556.11062249922998</v>
      </c>
      <c r="I70" s="12">
        <v>33.902676105499197</v>
      </c>
      <c r="J70" s="12">
        <v>5.6981337510000003</v>
      </c>
      <c r="K70" s="12">
        <v>28.2045423544992</v>
      </c>
      <c r="O70" s="12">
        <v>31.652732849121001</v>
      </c>
      <c r="P70" s="12">
        <v>5.4505961359999997</v>
      </c>
      <c r="Q70" s="12">
        <v>26.202136713121</v>
      </c>
    </row>
    <row r="71" spans="1:17" x14ac:dyDescent="0.2">
      <c r="A71" s="12" t="s">
        <v>185</v>
      </c>
      <c r="B71" s="12">
        <v>30</v>
      </c>
      <c r="C71" s="12">
        <v>29.793723106384199</v>
      </c>
      <c r="D71" s="12">
        <v>8.7757511138915998</v>
      </c>
      <c r="E71" s="12">
        <v>17.142114162445001</v>
      </c>
      <c r="F71" s="12">
        <v>575.96044097471804</v>
      </c>
      <c r="I71" s="12">
        <v>106.478978157043</v>
      </c>
      <c r="J71" s="12">
        <v>5.6718315739999996</v>
      </c>
      <c r="K71" s="12">
        <v>100.80714658304299</v>
      </c>
      <c r="O71" s="12">
        <v>111.3600461483</v>
      </c>
      <c r="P71" s="12">
        <v>5.4176093060000001</v>
      </c>
      <c r="Q71" s="12">
        <v>105.9424368423</v>
      </c>
    </row>
    <row r="72" spans="1:17" x14ac:dyDescent="0.2">
      <c r="A72" s="12" t="s">
        <v>186</v>
      </c>
      <c r="B72" s="12">
        <v>30</v>
      </c>
      <c r="C72" s="12">
        <v>166.840634822845</v>
      </c>
      <c r="D72" s="12">
        <v>8.5872898101806605</v>
      </c>
      <c r="E72" s="12">
        <v>154.42825508117599</v>
      </c>
      <c r="F72" s="12">
        <v>617.69920860269997</v>
      </c>
      <c r="I72" s="12">
        <v>25.089088916778501</v>
      </c>
      <c r="J72" s="12">
        <v>5.7197965259999997</v>
      </c>
      <c r="K72" s="12">
        <v>19.369292390778501</v>
      </c>
      <c r="O72" s="12">
        <v>27.865355968475299</v>
      </c>
      <c r="P72" s="12">
        <v>5.7484008949999996</v>
      </c>
      <c r="Q72" s="12">
        <v>22.1169550734753</v>
      </c>
    </row>
    <row r="73" spans="1:17" x14ac:dyDescent="0.2">
      <c r="A73" s="12" t="s">
        <v>187</v>
      </c>
      <c r="B73" s="12">
        <v>30</v>
      </c>
      <c r="C73" s="12">
        <v>28.117257118225002</v>
      </c>
      <c r="D73" s="12">
        <v>8.6967170238494802</v>
      </c>
      <c r="E73" s="12">
        <v>15.5687618255615</v>
      </c>
      <c r="F73" s="12">
        <v>603.62183296559897</v>
      </c>
      <c r="I73" s="12">
        <v>29.529916048049898</v>
      </c>
      <c r="J73" s="12">
        <v>5.7138077029999996</v>
      </c>
      <c r="K73" s="12">
        <v>23.816108345049901</v>
      </c>
      <c r="O73" s="12">
        <v>33.830531120300201</v>
      </c>
      <c r="P73" s="12">
        <v>5.8459022699999998</v>
      </c>
      <c r="Q73" s="12">
        <v>27.984628850300201</v>
      </c>
    </row>
    <row r="74" spans="1:17" x14ac:dyDescent="0.2">
      <c r="A74" s="12" t="s">
        <v>188</v>
      </c>
      <c r="B74" s="12">
        <v>30</v>
      </c>
      <c r="C74" s="12">
        <v>127.503839969635</v>
      </c>
      <c r="D74" s="12">
        <v>8.4974498748779297</v>
      </c>
      <c r="E74" s="12">
        <v>115.215109109878</v>
      </c>
      <c r="F74" s="12">
        <v>594.06347808683995</v>
      </c>
      <c r="I74" s="12">
        <v>140.59773993492101</v>
      </c>
      <c r="J74" s="12">
        <v>5.6608707349999996</v>
      </c>
      <c r="K74" s="12">
        <v>134.93686919992101</v>
      </c>
      <c r="O74" s="12">
        <v>149.462839841842</v>
      </c>
      <c r="P74" s="12">
        <v>5.7325743190000003</v>
      </c>
      <c r="Q74" s="12">
        <v>143.73026552284199</v>
      </c>
    </row>
    <row r="75" spans="1:17" x14ac:dyDescent="0.2">
      <c r="A75" s="12" t="s">
        <v>189</v>
      </c>
      <c r="B75" s="12">
        <v>30</v>
      </c>
      <c r="C75" s="12">
        <v>125.291797876358</v>
      </c>
      <c r="D75" s="12">
        <v>8.5344710350036603</v>
      </c>
      <c r="E75" s="12">
        <v>112.945721149444</v>
      </c>
      <c r="F75" s="12">
        <v>618.45887816592699</v>
      </c>
      <c r="I75" s="12">
        <v>25.125868082046502</v>
      </c>
      <c r="J75" s="12">
        <v>5.6893553729999997</v>
      </c>
      <c r="K75" s="12">
        <v>19.4365127090465</v>
      </c>
      <c r="O75" s="12">
        <v>27.3059241771698</v>
      </c>
      <c r="P75" s="12">
        <v>5.7365861989999898</v>
      </c>
      <c r="Q75" s="12">
        <v>21.569337978169798</v>
      </c>
    </row>
    <row r="76" spans="1:17" x14ac:dyDescent="0.2">
      <c r="A76" s="12" t="s">
        <v>190</v>
      </c>
      <c r="B76" s="12">
        <v>30</v>
      </c>
      <c r="C76" s="12">
        <v>34.4022889137268</v>
      </c>
      <c r="D76" s="12">
        <v>8.6591789722442591</v>
      </c>
      <c r="E76" s="12">
        <v>21.913948059081999</v>
      </c>
      <c r="F76" s="12">
        <v>592.13787113389299</v>
      </c>
      <c r="I76" s="12">
        <v>30.062056064605699</v>
      </c>
      <c r="J76" s="12">
        <v>5.6776337510000001</v>
      </c>
      <c r="K76" s="12">
        <v>24.3844223136057</v>
      </c>
      <c r="O76" s="12">
        <v>44.686160087585399</v>
      </c>
      <c r="P76" s="12">
        <v>5.8091758229999897</v>
      </c>
      <c r="Q76" s="12">
        <v>38.876984264585403</v>
      </c>
    </row>
    <row r="77" spans="1:17" x14ac:dyDescent="0.2">
      <c r="A77" s="12" t="s">
        <v>191</v>
      </c>
      <c r="B77" s="12">
        <v>30</v>
      </c>
      <c r="C77" s="12">
        <v>46.836198091506901</v>
      </c>
      <c r="D77" s="12">
        <v>8.6530361175537092</v>
      </c>
      <c r="E77" s="12">
        <v>34.3504219055175</v>
      </c>
      <c r="F77" s="12">
        <v>554.97510150857397</v>
      </c>
      <c r="I77" s="12">
        <v>116.92479681968599</v>
      </c>
      <c r="J77" s="12">
        <v>5.6949462129999997</v>
      </c>
      <c r="K77" s="12">
        <v>111.229850606686</v>
      </c>
      <c r="O77" s="12">
        <v>119.31911587715101</v>
      </c>
      <c r="P77" s="12">
        <v>5.7857170230000001</v>
      </c>
      <c r="Q77" s="12">
        <v>113.533398854151</v>
      </c>
    </row>
    <row r="78" spans="1:17" x14ac:dyDescent="0.2">
      <c r="A78" s="12" t="s">
        <v>192</v>
      </c>
      <c r="B78" s="12">
        <v>30</v>
      </c>
      <c r="C78" s="12">
        <v>79.221524953842106</v>
      </c>
      <c r="D78" s="12">
        <v>8.87300300598144</v>
      </c>
      <c r="E78" s="12">
        <v>66.440825939178396</v>
      </c>
      <c r="F78" s="12">
        <v>578.67001386192806</v>
      </c>
      <c r="I78" s="12">
        <v>30.504914045333798</v>
      </c>
      <c r="J78" s="12">
        <v>5.7153936629999897</v>
      </c>
      <c r="K78" s="12">
        <v>24.789520382333802</v>
      </c>
      <c r="O78" s="12">
        <v>33.747984170913597</v>
      </c>
      <c r="P78" s="12">
        <v>5.7536340299999997</v>
      </c>
      <c r="Q78" s="12">
        <v>27.9943501409136</v>
      </c>
    </row>
    <row r="79" spans="1:17" x14ac:dyDescent="0.2">
      <c r="A79" s="12" t="s">
        <v>193</v>
      </c>
      <c r="B79" s="12">
        <v>30</v>
      </c>
      <c r="C79" s="12">
        <v>26.363830089568999</v>
      </c>
      <c r="D79" s="12">
        <v>8.8252141475677401</v>
      </c>
      <c r="E79" s="12">
        <v>13.649255990982001</v>
      </c>
      <c r="F79" s="12">
        <v>593.79201706580398</v>
      </c>
      <c r="I79" s="12">
        <v>35.754777908325103</v>
      </c>
      <c r="J79" s="12">
        <v>5.7450944860000002</v>
      </c>
      <c r="K79" s="12">
        <v>30.0096834223251</v>
      </c>
      <c r="O79" s="12">
        <v>62.105048179626401</v>
      </c>
      <c r="P79" s="12">
        <v>5.8014814570000004</v>
      </c>
      <c r="Q79" s="12">
        <v>56.3035667226264</v>
      </c>
    </row>
    <row r="80" spans="1:17" x14ac:dyDescent="0.2">
      <c r="A80" s="12" t="s">
        <v>194</v>
      </c>
      <c r="B80" s="12">
        <v>30</v>
      </c>
      <c r="C80" s="12">
        <v>64.240629911422701</v>
      </c>
      <c r="D80" s="12">
        <v>8.8985679149627597</v>
      </c>
      <c r="E80" s="12">
        <v>51.469216108322101</v>
      </c>
      <c r="F80" s="12">
        <v>555.82746540212497</v>
      </c>
      <c r="I80" s="12">
        <v>85.675542116165104</v>
      </c>
      <c r="J80" s="12">
        <v>5.7314141269999999</v>
      </c>
      <c r="K80" s="12">
        <v>79.944127989165096</v>
      </c>
      <c r="O80" s="12">
        <v>92.355997800826998</v>
      </c>
      <c r="P80" s="12">
        <v>5.629932374</v>
      </c>
      <c r="Q80" s="12">
        <v>86.726065426827006</v>
      </c>
    </row>
    <row r="81" spans="1:17" x14ac:dyDescent="0.2">
      <c r="A81" s="12" t="s">
        <v>195</v>
      </c>
      <c r="B81" s="12">
        <v>30</v>
      </c>
      <c r="C81" s="12">
        <v>178.00473690032899</v>
      </c>
      <c r="D81" s="12">
        <v>8.9058430194854701</v>
      </c>
      <c r="E81" s="12">
        <v>165.180006027221</v>
      </c>
      <c r="F81" s="12">
        <v>590.10712208380301</v>
      </c>
      <c r="I81" s="12">
        <v>43.518836021423297</v>
      </c>
      <c r="J81" s="12">
        <v>5.7551420249999996</v>
      </c>
      <c r="K81" s="12">
        <v>37.763693996423299</v>
      </c>
      <c r="O81" s="12">
        <v>47.6140170097351</v>
      </c>
      <c r="P81" s="12">
        <v>5.5715104540000002</v>
      </c>
      <c r="Q81" s="12">
        <v>42.042506555735102</v>
      </c>
    </row>
    <row r="82" spans="1:17" x14ac:dyDescent="0.2">
      <c r="A82" s="12" t="s">
        <v>197</v>
      </c>
      <c r="B82" s="12">
        <v>30</v>
      </c>
      <c r="C82" s="12">
        <v>42.509977102279599</v>
      </c>
      <c r="D82" s="12">
        <v>8.6050789356231601</v>
      </c>
      <c r="E82" s="12">
        <v>30.208149909973098</v>
      </c>
      <c r="F82" s="12">
        <v>595.85638509698799</v>
      </c>
      <c r="I82" s="12">
        <v>26.906602859496999</v>
      </c>
      <c r="J82" s="12">
        <v>5.7462809219999897</v>
      </c>
      <c r="K82" s="12">
        <v>21.160321937496999</v>
      </c>
      <c r="O82" s="12">
        <v>30.638364076614302</v>
      </c>
      <c r="P82" s="12">
        <v>5.8904875299999997</v>
      </c>
      <c r="Q82" s="12">
        <v>24.7478765466143</v>
      </c>
    </row>
    <row r="83" spans="1:17" x14ac:dyDescent="0.2">
      <c r="A83" s="12" t="s">
        <v>198</v>
      </c>
      <c r="B83" s="12">
        <v>30</v>
      </c>
      <c r="C83" s="12">
        <v>37.360584020614603</v>
      </c>
      <c r="D83" s="12">
        <v>8.6051468849182093</v>
      </c>
      <c r="E83" s="12">
        <v>25.0333909988403</v>
      </c>
      <c r="F83" s="12">
        <v>484.49302924606201</v>
      </c>
      <c r="I83" s="12">
        <v>524.695614099502</v>
      </c>
      <c r="J83" s="12">
        <v>5.7303056940000001</v>
      </c>
      <c r="K83" s="12">
        <v>518.96530840550201</v>
      </c>
      <c r="O83" s="12">
        <v>550.55767393112103</v>
      </c>
      <c r="P83" s="12">
        <v>5.9431166739999997</v>
      </c>
      <c r="Q83" s="12">
        <v>544.61455725712096</v>
      </c>
    </row>
    <row r="84" spans="1:17" x14ac:dyDescent="0.2">
      <c r="A84" s="12" t="s">
        <v>200</v>
      </c>
      <c r="B84" s="12">
        <v>30</v>
      </c>
      <c r="C84" s="12">
        <v>142.50590300559901</v>
      </c>
      <c r="D84" s="12">
        <v>8.5235650539398193</v>
      </c>
      <c r="E84" s="12">
        <v>130.17291212081901</v>
      </c>
      <c r="F84" s="12">
        <v>579.970793506929</v>
      </c>
      <c r="O84" s="12"/>
    </row>
    <row r="85" spans="1:17" s="33" customFormat="1" x14ac:dyDescent="0.2">
      <c r="C85" s="33">
        <f>AVERAGE(C25:C84)</f>
        <v>225.8636595646538</v>
      </c>
      <c r="D85" s="33">
        <f>AVERAGE(D25:D84)</f>
        <v>8.6706261952718098</v>
      </c>
      <c r="E85" s="33">
        <f>AVERAGE(E25:E84)</f>
        <v>213.38724732001589</v>
      </c>
      <c r="F85" s="33">
        <f>AVERAGE(F25:F84)</f>
        <v>576.38098040504872</v>
      </c>
      <c r="G85" s="42"/>
      <c r="I85" s="33">
        <f>AVERAGE(I25:I83)</f>
        <v>98.117917279065509</v>
      </c>
      <c r="J85" s="33">
        <f>AVERAGE(J25:J83)</f>
        <v>5.8612809704067761</v>
      </c>
      <c r="K85" s="33">
        <f>AVERAGE(K25:K83)</f>
        <v>92.256636308658713</v>
      </c>
      <c r="O85" s="33">
        <f>AVERAGE(O25:O84)</f>
        <v>109.27894229808074</v>
      </c>
    </row>
    <row r="86" spans="1:17" x14ac:dyDescent="0.2">
      <c r="A86" s="11" t="s">
        <v>202</v>
      </c>
      <c r="B86" s="12">
        <v>50</v>
      </c>
      <c r="C86" s="11">
        <v>822.873066186904</v>
      </c>
      <c r="D86" s="11">
        <v>8.5575280189514107</v>
      </c>
      <c r="E86" s="11">
        <v>811.25142788887001</v>
      </c>
      <c r="F86" s="11">
        <v>904.67917181827704</v>
      </c>
      <c r="G86" s="40" t="s">
        <v>333</v>
      </c>
    </row>
    <row r="87" spans="1:17" x14ac:dyDescent="0.2">
      <c r="A87" s="12" t="s">
        <v>204</v>
      </c>
      <c r="B87" s="12">
        <v>50</v>
      </c>
      <c r="C87" s="12">
        <v>1258.4859991073599</v>
      </c>
      <c r="D87" s="12">
        <v>8.5124499797820992</v>
      </c>
      <c r="E87" s="12">
        <v>1246.9036130905099</v>
      </c>
      <c r="F87" s="12">
        <v>747.15817166929605</v>
      </c>
      <c r="G87" s="41" t="s">
        <v>333</v>
      </c>
    </row>
    <row r="88" spans="1:17" x14ac:dyDescent="0.2">
      <c r="A88" s="12" t="s">
        <v>206</v>
      </c>
      <c r="B88" s="12">
        <v>50</v>
      </c>
      <c r="C88" s="12">
        <v>665.20156407356205</v>
      </c>
      <c r="D88" s="12">
        <v>8.4452059268951398</v>
      </c>
      <c r="E88" s="12">
        <v>653.70395398139897</v>
      </c>
      <c r="F88" s="12">
        <v>806.07474252105806</v>
      </c>
      <c r="G88" s="41" t="s">
        <v>333</v>
      </c>
    </row>
    <row r="89" spans="1:17" x14ac:dyDescent="0.2">
      <c r="A89" s="12" t="s">
        <v>207</v>
      </c>
      <c r="B89" s="12">
        <v>50</v>
      </c>
      <c r="C89" s="12">
        <v>989.79696106910706</v>
      </c>
      <c r="D89" s="12">
        <v>8.4842031002044607</v>
      </c>
      <c r="E89" s="12">
        <v>978.25549411773602</v>
      </c>
      <c r="F89" s="12">
        <v>929.59586886479701</v>
      </c>
      <c r="G89" s="41" t="s">
        <v>333</v>
      </c>
    </row>
    <row r="90" spans="1:17" x14ac:dyDescent="0.2">
      <c r="A90" s="12" t="s">
        <v>208</v>
      </c>
      <c r="B90" s="12">
        <v>50</v>
      </c>
      <c r="C90" s="12">
        <v>372.89262509346003</v>
      </c>
      <c r="D90" s="12">
        <v>8.4830820560455305</v>
      </c>
      <c r="E90" s="12">
        <v>361.35856986045798</v>
      </c>
      <c r="F90" s="12">
        <v>744.25675699009003</v>
      </c>
      <c r="G90" s="41" t="s">
        <v>333</v>
      </c>
    </row>
    <row r="91" spans="1:17" x14ac:dyDescent="0.2">
      <c r="A91" s="12" t="s">
        <v>210</v>
      </c>
      <c r="B91" s="12">
        <v>50</v>
      </c>
      <c r="C91" s="12">
        <v>4066.8757028579698</v>
      </c>
      <c r="D91" s="12">
        <v>8.5036029815673793</v>
      </c>
      <c r="E91" s="12">
        <v>4055.3007729053402</v>
      </c>
      <c r="F91" s="12">
        <v>834.17200706027995</v>
      </c>
      <c r="G91" s="41" t="s">
        <v>333</v>
      </c>
    </row>
    <row r="92" spans="1:17" x14ac:dyDescent="0.2">
      <c r="A92" s="12" t="s">
        <v>213</v>
      </c>
      <c r="B92" s="12">
        <v>50</v>
      </c>
      <c r="C92" s="12">
        <v>4064.5394589900902</v>
      </c>
      <c r="D92" s="12">
        <v>8.5126180648803693</v>
      </c>
      <c r="E92" s="12">
        <v>4052.9780139923</v>
      </c>
      <c r="F92" s="12">
        <v>927.16749168383706</v>
      </c>
      <c r="G92" s="41" t="s">
        <v>333</v>
      </c>
    </row>
    <row r="93" spans="1:17" x14ac:dyDescent="0.2">
      <c r="A93" s="12" t="s">
        <v>215</v>
      </c>
      <c r="B93" s="12">
        <v>50</v>
      </c>
      <c r="C93" s="12">
        <v>6601.6563398837998</v>
      </c>
      <c r="D93" s="12">
        <v>8.5578658580779994</v>
      </c>
      <c r="E93" s="12">
        <v>6590.0206198692304</v>
      </c>
      <c r="F93" s="12">
        <v>705.85673858062103</v>
      </c>
      <c r="G93" s="41" t="s">
        <v>333</v>
      </c>
    </row>
    <row r="94" spans="1:17" x14ac:dyDescent="0.2">
      <c r="A94" s="12" t="s">
        <v>217</v>
      </c>
      <c r="B94" s="12">
        <v>50</v>
      </c>
      <c r="C94" s="12">
        <v>2025.96138501167</v>
      </c>
      <c r="D94" s="12">
        <v>8.5689151287078804</v>
      </c>
      <c r="E94" s="12">
        <v>2014.31392216682</v>
      </c>
      <c r="F94" s="12">
        <v>806.74999695620102</v>
      </c>
      <c r="G94" s="41" t="s">
        <v>333</v>
      </c>
    </row>
    <row r="95" spans="1:17" x14ac:dyDescent="0.2">
      <c r="A95" s="12" t="s">
        <v>219</v>
      </c>
      <c r="B95" s="12">
        <v>50</v>
      </c>
      <c r="C95" s="12">
        <v>485.60534405708302</v>
      </c>
      <c r="D95" s="12">
        <v>9.1135129928588796</v>
      </c>
      <c r="E95" s="12">
        <v>473.19950509071299</v>
      </c>
      <c r="F95" s="12">
        <v>863.44330608101302</v>
      </c>
      <c r="G95" s="41" t="s">
        <v>333</v>
      </c>
    </row>
    <row r="96" spans="1:17" x14ac:dyDescent="0.2">
      <c r="A96" s="12" t="s">
        <v>221</v>
      </c>
      <c r="B96" s="12">
        <v>50</v>
      </c>
      <c r="C96" s="12">
        <v>656.82336091995205</v>
      </c>
      <c r="D96" s="12">
        <v>8.4885518550872803</v>
      </c>
      <c r="E96" s="12">
        <v>645.27609181404102</v>
      </c>
      <c r="F96" s="12">
        <v>732.07830938304699</v>
      </c>
      <c r="G96" s="41" t="s">
        <v>333</v>
      </c>
    </row>
    <row r="97" spans="1:7" x14ac:dyDescent="0.2">
      <c r="A97" s="12" t="s">
        <v>223</v>
      </c>
      <c r="B97" s="12">
        <v>50</v>
      </c>
      <c r="C97" s="12">
        <v>1046.60927104949</v>
      </c>
      <c r="D97" s="12">
        <v>8.5126838684081996</v>
      </c>
      <c r="E97" s="12">
        <v>1035.0383560657499</v>
      </c>
      <c r="F97" s="12">
        <v>748.647066775697</v>
      </c>
      <c r="G97" s="41" t="s">
        <v>333</v>
      </c>
    </row>
    <row r="98" spans="1:7" x14ac:dyDescent="0.2">
      <c r="A98" s="12" t="s">
        <v>225</v>
      </c>
      <c r="B98" s="12">
        <v>50</v>
      </c>
      <c r="C98" s="12">
        <v>414.562586069107</v>
      </c>
      <c r="D98" s="12">
        <v>8.5858390331268293</v>
      </c>
      <c r="E98" s="12">
        <v>402.901463985443</v>
      </c>
      <c r="F98" s="12">
        <v>857.03541608793705</v>
      </c>
      <c r="G98" s="41" t="s">
        <v>333</v>
      </c>
    </row>
    <row r="99" spans="1:7" x14ac:dyDescent="0.2">
      <c r="A99" s="12" t="s">
        <v>226</v>
      </c>
      <c r="B99" s="12">
        <v>50</v>
      </c>
      <c r="C99" s="12">
        <v>258.2442009449</v>
      </c>
      <c r="D99" s="12">
        <v>8.5931420326232892</v>
      </c>
      <c r="E99" s="12">
        <v>246.57460689544601</v>
      </c>
      <c r="F99" s="12">
        <v>728.449915009915</v>
      </c>
      <c r="G99" s="41" t="s">
        <v>333</v>
      </c>
    </row>
    <row r="100" spans="1:7" x14ac:dyDescent="0.2">
      <c r="A100" s="12" t="s">
        <v>228</v>
      </c>
      <c r="B100" s="12">
        <v>50</v>
      </c>
      <c r="C100" s="12">
        <v>992.68692517280499</v>
      </c>
      <c r="D100" s="12">
        <v>8.5701940059661794</v>
      </c>
      <c r="E100" s="12">
        <v>981.03921484947205</v>
      </c>
      <c r="F100" s="12">
        <v>788.15119748952998</v>
      </c>
      <c r="G100" s="41" t="s">
        <v>333</v>
      </c>
    </row>
    <row r="101" spans="1:7" x14ac:dyDescent="0.2">
      <c r="A101" s="12" t="s">
        <v>231</v>
      </c>
      <c r="B101" s="12">
        <v>50</v>
      </c>
      <c r="C101" s="12">
        <v>10858.8799788951</v>
      </c>
      <c r="D101" s="12">
        <v>8.5539870262145996</v>
      </c>
      <c r="E101" s="12">
        <v>10847.261812925301</v>
      </c>
      <c r="F101" s="12">
        <v>887.94699730896104</v>
      </c>
      <c r="G101" s="41">
        <v>2.33382170310454E-2</v>
      </c>
    </row>
    <row r="102" spans="1:7" x14ac:dyDescent="0.2">
      <c r="A102" s="12" t="s">
        <v>232</v>
      </c>
      <c r="B102" s="12">
        <v>50</v>
      </c>
      <c r="C102" s="12">
        <v>10862.226708889</v>
      </c>
      <c r="D102" s="12">
        <v>8.4729437828063894</v>
      </c>
      <c r="E102" s="12">
        <v>10850.621938943799</v>
      </c>
      <c r="F102" s="12">
        <v>733.48625023431805</v>
      </c>
      <c r="G102" s="41">
        <v>2.4323620175045999E-2</v>
      </c>
    </row>
    <row r="103" spans="1:7" x14ac:dyDescent="0.2">
      <c r="A103" s="12" t="s">
        <v>235</v>
      </c>
      <c r="B103" s="12">
        <v>50</v>
      </c>
      <c r="C103" s="12">
        <v>10866.4410090446</v>
      </c>
      <c r="D103" s="12">
        <v>8.5524699687957693</v>
      </c>
      <c r="E103" s="12">
        <v>10854.818059206</v>
      </c>
      <c r="F103" s="12">
        <v>830.03670880444804</v>
      </c>
      <c r="G103" s="41">
        <v>6.94528945837371E-3</v>
      </c>
    </row>
    <row r="104" spans="1:7" x14ac:dyDescent="0.2">
      <c r="A104" s="12" t="s">
        <v>237</v>
      </c>
      <c r="B104" s="12">
        <v>50</v>
      </c>
      <c r="C104" s="12">
        <v>10858.728393077799</v>
      </c>
      <c r="D104" s="12">
        <v>8.5523779392242396</v>
      </c>
      <c r="E104" s="12">
        <v>10847.112338066099</v>
      </c>
      <c r="F104" s="12">
        <v>869.92117614918402</v>
      </c>
      <c r="G104" s="41">
        <v>1.44211065781873E-2</v>
      </c>
    </row>
    <row r="105" spans="1:7" x14ac:dyDescent="0.2">
      <c r="A105" s="12" t="s">
        <v>240</v>
      </c>
      <c r="B105" s="12">
        <v>50</v>
      </c>
      <c r="C105" s="12">
        <v>7170.4303140640204</v>
      </c>
      <c r="D105" s="12">
        <v>8.5165929794311506</v>
      </c>
      <c r="E105" s="12">
        <v>7158.8069980144501</v>
      </c>
      <c r="F105" s="12">
        <v>766.43645298435899</v>
      </c>
      <c r="G105" s="41" t="s">
        <v>333</v>
      </c>
    </row>
    <row r="106" spans="1:7" x14ac:dyDescent="0.2">
      <c r="A106" s="12" t="s">
        <v>241</v>
      </c>
      <c r="B106" s="12">
        <v>50</v>
      </c>
      <c r="C106" s="12">
        <v>10868.008703947</v>
      </c>
      <c r="D106" s="12">
        <v>8.5165450572967494</v>
      </c>
      <c r="E106" s="12">
        <v>10856.414397954901</v>
      </c>
      <c r="F106" s="12">
        <v>880.14561889503</v>
      </c>
      <c r="G106" s="41">
        <v>3.1139540889173901E-2</v>
      </c>
    </row>
    <row r="107" spans="1:7" x14ac:dyDescent="0.2">
      <c r="A107" s="12" t="s">
        <v>243</v>
      </c>
      <c r="B107" s="12">
        <v>50</v>
      </c>
      <c r="C107" s="12">
        <v>10860.423424005499</v>
      </c>
      <c r="D107" s="12">
        <v>8.5003070831298793</v>
      </c>
      <c r="E107" s="12">
        <v>10848.8715708255</v>
      </c>
      <c r="F107" s="12">
        <v>930.55575742158896</v>
      </c>
      <c r="G107" s="41">
        <v>3.9422892021903702E-3</v>
      </c>
    </row>
    <row r="108" spans="1:7" x14ac:dyDescent="0.2">
      <c r="A108" s="12" t="s">
        <v>244</v>
      </c>
      <c r="B108" s="12">
        <v>50</v>
      </c>
      <c r="C108" s="12">
        <v>10862.325949907299</v>
      </c>
      <c r="D108" s="12">
        <v>8.5008678436279297</v>
      </c>
      <c r="E108" s="12">
        <v>10850.770273923799</v>
      </c>
      <c r="F108" s="12">
        <v>732.93066994389903</v>
      </c>
      <c r="G108" s="41">
        <v>1.9365576099395002E-2</v>
      </c>
    </row>
    <row r="109" spans="1:7" x14ac:dyDescent="0.2">
      <c r="A109" s="12" t="s">
        <v>245</v>
      </c>
      <c r="B109" s="12">
        <v>50</v>
      </c>
      <c r="C109" s="12">
        <v>10862.7307369709</v>
      </c>
      <c r="D109" s="12">
        <v>8.5392558574676496</v>
      </c>
      <c r="E109" s="12">
        <v>10851.120356798099</v>
      </c>
      <c r="F109" s="12">
        <v>827.49230972810301</v>
      </c>
      <c r="G109" s="41">
        <v>1.9204067019401999E-2</v>
      </c>
    </row>
    <row r="110" spans="1:7" x14ac:dyDescent="0.2">
      <c r="A110" s="12" t="s">
        <v>247</v>
      </c>
      <c r="B110" s="12">
        <v>50</v>
      </c>
      <c r="C110" s="12">
        <v>10858.4522969722</v>
      </c>
      <c r="D110" s="12">
        <v>8.4793260097503609</v>
      </c>
      <c r="E110" s="12">
        <v>10846.916540145799</v>
      </c>
      <c r="F110" s="12">
        <v>870.61793028552495</v>
      </c>
      <c r="G110" s="41">
        <v>1.0097454433302001E-2</v>
      </c>
    </row>
    <row r="111" spans="1:7" x14ac:dyDescent="0.2">
      <c r="A111" s="12" t="s">
        <v>249</v>
      </c>
      <c r="B111" s="12">
        <v>50</v>
      </c>
      <c r="C111" s="12">
        <v>10872.2293109893</v>
      </c>
      <c r="D111" s="12">
        <v>8.5000669956207204</v>
      </c>
      <c r="E111" s="12">
        <v>10860.621006011899</v>
      </c>
      <c r="F111" s="12">
        <v>734.23864775306902</v>
      </c>
      <c r="G111" s="41">
        <v>1.14042359490347E-2</v>
      </c>
    </row>
    <row r="112" spans="1:7" x14ac:dyDescent="0.2">
      <c r="A112" s="12" t="s">
        <v>251</v>
      </c>
      <c r="B112" s="12">
        <v>50</v>
      </c>
      <c r="C112" s="12">
        <v>10872.5592951774</v>
      </c>
      <c r="D112" s="12">
        <v>8.5511472225189191</v>
      </c>
      <c r="E112" s="12">
        <v>10860.9275279045</v>
      </c>
      <c r="F112" s="12">
        <v>775.23151583494302</v>
      </c>
      <c r="G112" s="41">
        <v>4.2232158903787098E-3</v>
      </c>
    </row>
    <row r="113" spans="1:7" x14ac:dyDescent="0.2">
      <c r="A113" s="12" t="s">
        <v>253</v>
      </c>
      <c r="B113" s="12">
        <v>50</v>
      </c>
      <c r="C113" s="12">
        <v>10867.1596620082</v>
      </c>
      <c r="D113" s="12">
        <v>8.5499579906463605</v>
      </c>
      <c r="E113" s="12">
        <v>10855.5398318767</v>
      </c>
      <c r="F113" s="12">
        <v>884.61248507040705</v>
      </c>
      <c r="G113" s="41">
        <v>2.7018966015651E-2</v>
      </c>
    </row>
    <row r="114" spans="1:7" x14ac:dyDescent="0.2">
      <c r="A114" s="12" t="s">
        <v>255</v>
      </c>
      <c r="B114" s="12">
        <v>50</v>
      </c>
      <c r="C114" s="12">
        <v>10865.8607769012</v>
      </c>
      <c r="D114" s="12">
        <v>9.6899898052215505</v>
      </c>
      <c r="E114" s="12">
        <v>10852.748437881401</v>
      </c>
      <c r="F114" s="12">
        <v>742.29954779596403</v>
      </c>
      <c r="G114" s="41">
        <v>1.45456716378532E-2</v>
      </c>
    </row>
    <row r="115" spans="1:7" x14ac:dyDescent="0.2">
      <c r="A115" s="12" t="s">
        <v>257</v>
      </c>
      <c r="B115" s="12">
        <v>50</v>
      </c>
      <c r="C115" s="12">
        <v>10862.7689311504</v>
      </c>
      <c r="D115" s="12">
        <v>8.5322480201721191</v>
      </c>
      <c r="E115" s="12">
        <v>10851.168274879399</v>
      </c>
      <c r="F115" s="12">
        <v>838.64232118684595</v>
      </c>
      <c r="G115" s="41">
        <v>1.0653041355712701E-2</v>
      </c>
    </row>
    <row r="116" spans="1:7" x14ac:dyDescent="0.2">
      <c r="A116" s="12" t="s">
        <v>260</v>
      </c>
      <c r="B116" s="12">
        <v>50</v>
      </c>
      <c r="C116" s="12">
        <v>6344.3385901451102</v>
      </c>
      <c r="D116" s="12">
        <v>8.5170769691467196</v>
      </c>
      <c r="E116" s="12">
        <v>6332.7557189464496</v>
      </c>
      <c r="F116" s="12">
        <v>830.37386602136405</v>
      </c>
      <c r="G116" s="41" t="s">
        <v>333</v>
      </c>
    </row>
    <row r="117" spans="1:7" x14ac:dyDescent="0.2">
      <c r="A117" s="12" t="s">
        <v>261</v>
      </c>
      <c r="B117" s="12">
        <v>50</v>
      </c>
      <c r="C117" s="12">
        <v>10878.095494031901</v>
      </c>
      <c r="D117" s="12">
        <v>9.1249859333038295</v>
      </c>
      <c r="E117" s="12">
        <v>10865.715105056701</v>
      </c>
      <c r="F117" s="12">
        <v>727.71644831790695</v>
      </c>
      <c r="G117" s="41">
        <v>1.6709636121136101E-2</v>
      </c>
    </row>
    <row r="118" spans="1:7" x14ac:dyDescent="0.2">
      <c r="A118" s="12" t="s">
        <v>262</v>
      </c>
      <c r="B118" s="12">
        <v>50</v>
      </c>
      <c r="C118" s="12">
        <v>10863.0688109397</v>
      </c>
      <c r="D118" s="12">
        <v>8.5652039051055908</v>
      </c>
      <c r="E118" s="12">
        <v>10851.412600040399</v>
      </c>
      <c r="F118" s="12">
        <v>776.77534241926605</v>
      </c>
      <c r="G118" s="41">
        <v>7.1626477255360196E-3</v>
      </c>
    </row>
    <row r="119" spans="1:7" x14ac:dyDescent="0.2">
      <c r="A119" s="12" t="s">
        <v>263</v>
      </c>
      <c r="B119" s="12">
        <v>50</v>
      </c>
      <c r="C119" s="12">
        <v>10866.8900008201</v>
      </c>
      <c r="D119" s="12">
        <v>8.5943508148193306</v>
      </c>
      <c r="E119" s="12">
        <v>10855.2143299579</v>
      </c>
      <c r="F119" s="12">
        <v>869.40557456206898</v>
      </c>
      <c r="G119" s="41">
        <v>6.7840256261062996E-3</v>
      </c>
    </row>
    <row r="120" spans="1:7" x14ac:dyDescent="0.2">
      <c r="A120" s="12" t="s">
        <v>264</v>
      </c>
      <c r="B120" s="12">
        <v>50</v>
      </c>
      <c r="C120" s="12">
        <v>10871.6401209831</v>
      </c>
      <c r="D120" s="12">
        <v>8.5101008415222097</v>
      </c>
      <c r="E120" s="12">
        <v>10860.0568611621</v>
      </c>
      <c r="F120" s="12">
        <v>720.96839834172602</v>
      </c>
      <c r="G120" s="41">
        <v>6.3966929693097998E-3</v>
      </c>
    </row>
    <row r="121" spans="1:7" x14ac:dyDescent="0.2">
      <c r="A121" s="12" t="s">
        <v>341</v>
      </c>
      <c r="B121" s="12">
        <v>50</v>
      </c>
      <c r="C121" s="12">
        <v>10854.4953029155</v>
      </c>
      <c r="D121" s="12">
        <v>8.5652561187744105</v>
      </c>
      <c r="E121" s="12">
        <v>10842.8569459915</v>
      </c>
      <c r="F121" s="12">
        <v>785.96996324184897</v>
      </c>
      <c r="G121" s="41">
        <v>1.40214145039538E-2</v>
      </c>
    </row>
    <row r="122" spans="1:7" x14ac:dyDescent="0.2">
      <c r="A122" s="12" t="s">
        <v>265</v>
      </c>
      <c r="B122" s="12">
        <v>50</v>
      </c>
      <c r="C122" s="12">
        <v>10867.7067530155</v>
      </c>
      <c r="D122" s="12">
        <v>8.5251040458679199</v>
      </c>
      <c r="E122" s="12">
        <v>10856.111525058701</v>
      </c>
      <c r="F122" s="12">
        <v>843.81242602817201</v>
      </c>
      <c r="G122" s="41">
        <v>3.7243336353403301E-3</v>
      </c>
    </row>
    <row r="123" spans="1:7" x14ac:dyDescent="0.2">
      <c r="A123" s="12" t="s">
        <v>267</v>
      </c>
      <c r="B123" s="12">
        <v>50</v>
      </c>
      <c r="C123" s="12">
        <v>10859.384083032601</v>
      </c>
      <c r="D123" s="12">
        <v>8.5593891143798793</v>
      </c>
      <c r="E123" s="12">
        <v>10847.7403328418</v>
      </c>
      <c r="F123" s="12">
        <v>703.57436976990198</v>
      </c>
      <c r="G123" s="41">
        <v>1.0372985558678501E-2</v>
      </c>
    </row>
    <row r="124" spans="1:7" x14ac:dyDescent="0.2">
      <c r="A124" s="12" t="s">
        <v>268</v>
      </c>
      <c r="B124" s="12">
        <v>50</v>
      </c>
      <c r="C124" s="12">
        <v>10853.7131381034</v>
      </c>
      <c r="D124" s="12">
        <v>8.5677080154418892</v>
      </c>
      <c r="E124" s="12">
        <v>10842.068351984</v>
      </c>
      <c r="F124" s="12">
        <v>786.50646648842906</v>
      </c>
      <c r="G124" s="41">
        <v>1.78323706489412E-3</v>
      </c>
    </row>
    <row r="125" spans="1:7" x14ac:dyDescent="0.2">
      <c r="A125" s="12" t="s">
        <v>270</v>
      </c>
      <c r="B125" s="12">
        <v>50</v>
      </c>
      <c r="C125" s="12">
        <v>10860.259890794699</v>
      </c>
      <c r="D125" s="12">
        <v>8.5937027931213308</v>
      </c>
      <c r="E125" s="12">
        <v>10848.59207201</v>
      </c>
      <c r="F125" s="12">
        <v>852.92252955917297</v>
      </c>
      <c r="G125" s="41">
        <v>1.2637413054455499E-2</v>
      </c>
    </row>
    <row r="126" spans="1:7" x14ac:dyDescent="0.2">
      <c r="A126" s="12" t="s">
        <v>271</v>
      </c>
      <c r="B126" s="12">
        <v>50</v>
      </c>
      <c r="C126" s="12">
        <v>10864.232020854901</v>
      </c>
      <c r="D126" s="12">
        <v>8.5526139736175502</v>
      </c>
      <c r="E126" s="12">
        <v>10852.605310916901</v>
      </c>
      <c r="F126" s="12">
        <v>743.15016536224005</v>
      </c>
      <c r="G126" s="41">
        <v>2.8037092694189101E-3</v>
      </c>
    </row>
    <row r="127" spans="1:7" x14ac:dyDescent="0.2">
      <c r="A127" s="12" t="s">
        <v>273</v>
      </c>
      <c r="B127" s="12">
        <v>50</v>
      </c>
      <c r="C127" s="12">
        <v>1312.4094128608699</v>
      </c>
      <c r="D127" s="12">
        <v>8.5253868103027308</v>
      </c>
      <c r="E127" s="12">
        <v>1300.8100090026801</v>
      </c>
      <c r="F127" s="12">
        <v>714.38464263870799</v>
      </c>
      <c r="G127" s="41" t="s">
        <v>333</v>
      </c>
    </row>
    <row r="128" spans="1:7" x14ac:dyDescent="0.2">
      <c r="A128" s="12" t="s">
        <v>275</v>
      </c>
      <c r="B128" s="12">
        <v>50</v>
      </c>
      <c r="C128" s="12">
        <v>10863.4648809432</v>
      </c>
      <c r="D128" s="12">
        <v>8.52188897132873</v>
      </c>
      <c r="E128" s="12">
        <v>10851.874357938699</v>
      </c>
      <c r="F128" s="12">
        <v>843.66914797906202</v>
      </c>
      <c r="G128" s="41">
        <v>5.95452642891681E-3</v>
      </c>
    </row>
    <row r="129" spans="1:7" x14ac:dyDescent="0.2">
      <c r="A129" s="12" t="s">
        <v>277</v>
      </c>
      <c r="B129" s="12">
        <v>50</v>
      </c>
      <c r="C129" s="12">
        <v>10858.8050658702</v>
      </c>
      <c r="D129" s="12">
        <v>8.5333709716796804</v>
      </c>
      <c r="E129" s="12">
        <v>10847.1957819461</v>
      </c>
      <c r="F129" s="12">
        <v>734.29754159240201</v>
      </c>
      <c r="G129" s="41">
        <v>3.0670995569405698E-3</v>
      </c>
    </row>
    <row r="130" spans="1:7" x14ac:dyDescent="0.2">
      <c r="A130" s="12" t="s">
        <v>278</v>
      </c>
      <c r="B130" s="12">
        <v>50</v>
      </c>
      <c r="C130" s="12">
        <v>10856.684801101601</v>
      </c>
      <c r="D130" s="12">
        <v>8.5382659435272199</v>
      </c>
      <c r="E130" s="12">
        <v>10845.0763149261</v>
      </c>
      <c r="F130" s="12">
        <v>864.42323117647902</v>
      </c>
      <c r="G130" s="41">
        <v>1.1384262796540499E-2</v>
      </c>
    </row>
    <row r="131" spans="1:7" x14ac:dyDescent="0.2">
      <c r="A131" s="12" t="s">
        <v>279</v>
      </c>
      <c r="B131" s="12">
        <v>50</v>
      </c>
      <c r="C131" s="12">
        <v>636.91026306152298</v>
      </c>
      <c r="D131" s="12">
        <v>8.5267858505249006</v>
      </c>
      <c r="E131" s="12">
        <v>625.31623005867004</v>
      </c>
      <c r="F131" s="12">
        <v>858.58239070955904</v>
      </c>
      <c r="G131" s="41" t="s">
        <v>333</v>
      </c>
    </row>
    <row r="132" spans="1:7" x14ac:dyDescent="0.2">
      <c r="A132" s="12" t="s">
        <v>280</v>
      </c>
      <c r="B132" s="12">
        <v>50</v>
      </c>
      <c r="C132" s="12">
        <v>1166.0987608432699</v>
      </c>
      <c r="D132" s="12">
        <v>8.5135970115661603</v>
      </c>
      <c r="E132" s="12">
        <v>1154.5144569873801</v>
      </c>
      <c r="F132" s="12">
        <v>733.04338323688103</v>
      </c>
      <c r="G132" s="41" t="s">
        <v>333</v>
      </c>
    </row>
    <row r="133" spans="1:7" x14ac:dyDescent="0.2">
      <c r="A133" s="12" t="s">
        <v>282</v>
      </c>
      <c r="B133" s="12">
        <v>50</v>
      </c>
      <c r="C133" s="12">
        <v>1528.39203381538</v>
      </c>
      <c r="D133" s="12">
        <v>8.5366008281707693</v>
      </c>
      <c r="E133" s="12">
        <v>1516.7767820358199</v>
      </c>
      <c r="F133" s="12">
        <v>798.30697006622404</v>
      </c>
      <c r="G133" s="41" t="s">
        <v>333</v>
      </c>
    </row>
    <row r="134" spans="1:7" x14ac:dyDescent="0.2">
      <c r="A134" s="12" t="s">
        <v>285</v>
      </c>
      <c r="B134" s="12">
        <v>50</v>
      </c>
      <c r="C134" s="12">
        <v>4915.0569651126798</v>
      </c>
      <c r="D134" s="12">
        <v>8.5271651744842494</v>
      </c>
      <c r="E134" s="12">
        <v>4903.4640200138001</v>
      </c>
      <c r="F134" s="12">
        <v>945.78127214580604</v>
      </c>
      <c r="G134" s="41" t="s">
        <v>333</v>
      </c>
    </row>
    <row r="135" spans="1:7" x14ac:dyDescent="0.2">
      <c r="A135" s="12" t="s">
        <v>288</v>
      </c>
      <c r="B135" s="12">
        <v>50</v>
      </c>
      <c r="C135" s="12">
        <v>1490.9448850154799</v>
      </c>
      <c r="D135" s="12">
        <v>8.53924512863159</v>
      </c>
      <c r="E135" s="12">
        <v>1479.33487200737</v>
      </c>
      <c r="F135" s="12">
        <v>733.06895306761896</v>
      </c>
      <c r="G135" s="41" t="s">
        <v>333</v>
      </c>
    </row>
    <row r="136" spans="1:7" x14ac:dyDescent="0.2">
      <c r="A136" s="12" t="s">
        <v>289</v>
      </c>
      <c r="B136" s="12">
        <v>50</v>
      </c>
      <c r="C136" s="12">
        <v>1312.30143618583</v>
      </c>
      <c r="D136" s="12">
        <v>8.5390870571136404</v>
      </c>
      <c r="E136" s="12">
        <v>1300.6908929347901</v>
      </c>
      <c r="F136" s="12">
        <v>807.51376326792001</v>
      </c>
      <c r="G136" s="41" t="s">
        <v>333</v>
      </c>
    </row>
    <row r="137" spans="1:7" x14ac:dyDescent="0.2">
      <c r="A137" s="12" t="s">
        <v>290</v>
      </c>
      <c r="B137" s="12">
        <v>50</v>
      </c>
      <c r="C137" s="12">
        <v>493.66643691062899</v>
      </c>
      <c r="D137" s="12">
        <v>8.5366268157958896</v>
      </c>
      <c r="E137" s="12">
        <v>482.06255912780699</v>
      </c>
      <c r="F137" s="12">
        <v>901.57075664047102</v>
      </c>
      <c r="G137" s="41" t="s">
        <v>333</v>
      </c>
    </row>
    <row r="138" spans="1:7" x14ac:dyDescent="0.2">
      <c r="A138" s="12" t="s">
        <v>292</v>
      </c>
      <c r="B138" s="12">
        <v>50</v>
      </c>
      <c r="C138" s="12">
        <v>10855.7714941501</v>
      </c>
      <c r="D138" s="12">
        <v>8.5332441329956001</v>
      </c>
      <c r="E138" s="12">
        <v>10844.176383018401</v>
      </c>
      <c r="F138" s="12">
        <v>734.73703566555196</v>
      </c>
      <c r="G138" s="41">
        <v>8.8875830961927403E-4</v>
      </c>
    </row>
    <row r="139" spans="1:7" x14ac:dyDescent="0.2">
      <c r="A139" s="12" t="s">
        <v>293</v>
      </c>
      <c r="B139" s="12">
        <v>50</v>
      </c>
      <c r="C139" s="12">
        <v>2220.22599291801</v>
      </c>
      <c r="D139" s="12">
        <v>8.5614838600158691</v>
      </c>
      <c r="E139" s="12">
        <v>2208.5725901126798</v>
      </c>
      <c r="F139" s="12">
        <v>832.39589166274197</v>
      </c>
      <c r="G139" s="41" t="s">
        <v>333</v>
      </c>
    </row>
    <row r="140" spans="1:7" x14ac:dyDescent="0.2">
      <c r="A140" s="12" t="s">
        <v>294</v>
      </c>
      <c r="B140" s="12">
        <v>50</v>
      </c>
      <c r="C140" s="12">
        <v>209.04096198081899</v>
      </c>
      <c r="D140" s="12">
        <v>8.5355379581451398</v>
      </c>
      <c r="E140" s="12">
        <v>197.42179799079801</v>
      </c>
      <c r="F140" s="12">
        <v>855.00235402994701</v>
      </c>
      <c r="G140" s="41" t="s">
        <v>333</v>
      </c>
    </row>
    <row r="141" spans="1:7" x14ac:dyDescent="0.2">
      <c r="A141" s="12" t="s">
        <v>296</v>
      </c>
      <c r="B141" s="12">
        <v>50</v>
      </c>
      <c r="C141" s="12">
        <v>958.30017399787903</v>
      </c>
      <c r="D141" s="12">
        <v>8.4728589057922292</v>
      </c>
      <c r="E141" s="12">
        <v>946.760759115219</v>
      </c>
      <c r="F141" s="12">
        <v>743.55467547029104</v>
      </c>
      <c r="G141" s="41" t="s">
        <v>333</v>
      </c>
    </row>
    <row r="142" spans="1:7" x14ac:dyDescent="0.2">
      <c r="A142" s="12" t="s">
        <v>297</v>
      </c>
      <c r="B142" s="12">
        <v>50</v>
      </c>
      <c r="C142" s="12">
        <v>316.30875205993601</v>
      </c>
      <c r="D142" s="12">
        <v>8.5502460002899099</v>
      </c>
      <c r="E142" s="12">
        <v>304.66776585578901</v>
      </c>
      <c r="F142" s="12">
        <v>753.50083965029103</v>
      </c>
      <c r="G142" s="41" t="s">
        <v>333</v>
      </c>
    </row>
    <row r="143" spans="1:7" x14ac:dyDescent="0.2">
      <c r="A143" s="12" t="s">
        <v>298</v>
      </c>
      <c r="B143" s="12">
        <v>50</v>
      </c>
      <c r="C143" s="12">
        <v>327.82008910179098</v>
      </c>
      <c r="D143" s="12">
        <v>9.1427640914916992</v>
      </c>
      <c r="E143" s="12">
        <v>315.38515686988802</v>
      </c>
      <c r="F143" s="12">
        <v>909.08900057300696</v>
      </c>
      <c r="G143" s="41" t="s">
        <v>333</v>
      </c>
    </row>
    <row r="144" spans="1:7" x14ac:dyDescent="0.2">
      <c r="A144" s="12" t="s">
        <v>300</v>
      </c>
      <c r="B144" s="12">
        <v>50</v>
      </c>
      <c r="C144" s="12">
        <v>481.02029585838301</v>
      </c>
      <c r="D144" s="12">
        <v>8.5111000537872297</v>
      </c>
      <c r="E144" s="12">
        <v>469.42922520637501</v>
      </c>
      <c r="F144" s="12">
        <v>730.02802753693197</v>
      </c>
      <c r="G144" s="41" t="s">
        <v>333</v>
      </c>
    </row>
    <row r="145" spans="1:7" x14ac:dyDescent="0.2">
      <c r="C145" s="12">
        <v>2888.57512712478</v>
      </c>
      <c r="D145" s="12">
        <v>8.5511000156402499</v>
      </c>
      <c r="E145" s="12">
        <v>2876.93931698799</v>
      </c>
      <c r="F145" s="12">
        <v>833.30816974229901</v>
      </c>
      <c r="G145" s="41" t="s">
        <v>333</v>
      </c>
    </row>
    <row r="146" spans="1:7" s="33" customFormat="1" x14ac:dyDescent="0.2">
      <c r="C146" s="33">
        <f>AVERAGE(C86:C145)</f>
        <v>6044.461038617269</v>
      </c>
      <c r="G146" s="42"/>
    </row>
    <row r="147" spans="1:7" x14ac:dyDescent="0.2">
      <c r="A147" s="11" t="s">
        <v>393</v>
      </c>
      <c r="B147" s="12">
        <v>75</v>
      </c>
      <c r="C147" s="11">
        <v>18123.1608798503</v>
      </c>
      <c r="D147" s="11">
        <v>9.9161269664764404</v>
      </c>
      <c r="E147" s="11">
        <v>18109.1928751468</v>
      </c>
      <c r="F147" s="11">
        <v>1175.23175249769</v>
      </c>
      <c r="G147" s="40">
        <v>4.2028922163934697E-3</v>
      </c>
    </row>
    <row r="148" spans="1:7" x14ac:dyDescent="0.2">
      <c r="A148" s="12" t="s">
        <v>394</v>
      </c>
      <c r="B148" s="12">
        <v>75</v>
      </c>
      <c r="C148" s="12">
        <v>18100.582659006101</v>
      </c>
      <c r="D148" s="12">
        <v>8.9377641677856392</v>
      </c>
      <c r="E148" s="12">
        <v>18087.901702880801</v>
      </c>
      <c r="F148" s="12">
        <v>1034.9295560851699</v>
      </c>
      <c r="G148" s="41">
        <v>1.6457192842043299E-2</v>
      </c>
    </row>
    <row r="149" spans="1:7" x14ac:dyDescent="0.2">
      <c r="A149" s="12" t="s">
        <v>395</v>
      </c>
      <c r="B149" s="12">
        <v>75</v>
      </c>
      <c r="C149" s="12">
        <v>18090.758355855902</v>
      </c>
      <c r="D149" s="12">
        <v>8.64805006980896</v>
      </c>
      <c r="E149" s="12">
        <v>18078.490805864301</v>
      </c>
      <c r="F149" s="12">
        <v>1083.36625413299</v>
      </c>
      <c r="G149" s="41">
        <v>1.05536861952362E-2</v>
      </c>
    </row>
    <row r="150" spans="1:7" x14ac:dyDescent="0.2">
      <c r="A150" s="12" t="s">
        <v>396</v>
      </c>
      <c r="B150" s="12">
        <v>75</v>
      </c>
      <c r="C150" s="12">
        <v>18098.765872001601</v>
      </c>
      <c r="D150" s="12">
        <v>8.8525030612945503</v>
      </c>
      <c r="E150" s="12">
        <v>18086.206478118798</v>
      </c>
      <c r="F150" s="12">
        <v>1289.6913368333801</v>
      </c>
      <c r="G150" s="41">
        <v>1.28083370504368E-2</v>
      </c>
    </row>
    <row r="151" spans="1:7" x14ac:dyDescent="0.2">
      <c r="A151" s="12" t="s">
        <v>397</v>
      </c>
      <c r="B151" s="12">
        <v>75</v>
      </c>
      <c r="C151" s="12">
        <v>18096.254565954201</v>
      </c>
      <c r="D151" s="12">
        <v>8.6421968936920095</v>
      </c>
      <c r="E151" s="12">
        <v>18083.9564750194</v>
      </c>
      <c r="F151" s="12">
        <v>971.482268810096</v>
      </c>
      <c r="G151" s="41">
        <v>6.9715447623484102E-4</v>
      </c>
    </row>
    <row r="152" spans="1:7" x14ac:dyDescent="0.2">
      <c r="A152" s="12" t="s">
        <v>398</v>
      </c>
      <c r="B152" s="12">
        <v>75</v>
      </c>
      <c r="C152" s="12">
        <v>18112.7586679458</v>
      </c>
      <c r="D152" s="12">
        <v>8.6083331108093208</v>
      </c>
      <c r="E152" s="12">
        <v>18100.462336063301</v>
      </c>
      <c r="F152" s="12">
        <v>1060.41025903633</v>
      </c>
      <c r="G152" s="41">
        <v>4.2354612666950196E-3</v>
      </c>
    </row>
    <row r="153" spans="1:7" x14ac:dyDescent="0.2">
      <c r="A153" s="12" t="s">
        <v>399</v>
      </c>
      <c r="B153" s="12">
        <v>75</v>
      </c>
      <c r="C153" s="12">
        <v>18122.967542171398</v>
      </c>
      <c r="D153" s="12">
        <v>8.6634271144866908</v>
      </c>
      <c r="E153" s="12">
        <v>18110.7144780159</v>
      </c>
      <c r="F153" s="12">
        <v>1153.6208517658099</v>
      </c>
      <c r="G153" s="41">
        <v>8.1796472781295194E-3</v>
      </c>
    </row>
    <row r="154" spans="1:7" x14ac:dyDescent="0.2">
      <c r="A154" s="12" t="s">
        <v>400</v>
      </c>
      <c r="B154" s="12">
        <v>75</v>
      </c>
      <c r="C154" s="12">
        <v>18107.2315399646</v>
      </c>
      <c r="D154" s="12">
        <v>8.4746320247650093</v>
      </c>
      <c r="E154" s="12">
        <v>18095.184609174699</v>
      </c>
      <c r="F154" s="12">
        <v>940.449473970898</v>
      </c>
      <c r="G154" s="41">
        <v>1.24520134941975E-2</v>
      </c>
    </row>
    <row r="155" spans="1:7" x14ac:dyDescent="0.2">
      <c r="A155" s="12" t="s">
        <v>401</v>
      </c>
      <c r="B155" s="12">
        <v>75</v>
      </c>
      <c r="C155" s="12">
        <v>18127.080754041599</v>
      </c>
      <c r="D155" s="12">
        <v>9.0953152179718</v>
      </c>
      <c r="E155" s="12">
        <v>18114.223980188301</v>
      </c>
      <c r="F155" s="12">
        <v>1137.4363973177799</v>
      </c>
      <c r="G155" s="41">
        <v>1.41425334286936E-2</v>
      </c>
    </row>
    <row r="156" spans="1:7" x14ac:dyDescent="0.2">
      <c r="A156" s="12" t="s">
        <v>402</v>
      </c>
      <c r="B156" s="12">
        <v>75</v>
      </c>
      <c r="C156" s="12">
        <v>18097.507013082501</v>
      </c>
      <c r="D156" s="12">
        <v>8.8936440944671595</v>
      </c>
      <c r="E156" s="12">
        <v>18084.840202093099</v>
      </c>
      <c r="F156" s="12">
        <v>1272.13964667042</v>
      </c>
      <c r="G156" s="41">
        <v>9.1006576228137692E-3</v>
      </c>
    </row>
    <row r="157" spans="1:7" x14ac:dyDescent="0.2">
      <c r="A157" s="12" t="s">
        <v>403</v>
      </c>
      <c r="B157" s="12">
        <v>75</v>
      </c>
      <c r="C157" s="12">
        <v>18125.025508880601</v>
      </c>
      <c r="D157" s="12">
        <v>8.7713248729705793</v>
      </c>
      <c r="E157" s="12">
        <v>18112.522240161801</v>
      </c>
      <c r="F157" s="12">
        <v>989.95125804756799</v>
      </c>
      <c r="G157" s="41">
        <v>8.3983207507665903E-3</v>
      </c>
    </row>
    <row r="158" spans="1:7" x14ac:dyDescent="0.2">
      <c r="A158" s="12" t="s">
        <v>404</v>
      </c>
      <c r="B158" s="12">
        <v>75</v>
      </c>
      <c r="C158" s="12">
        <v>18091.798035144799</v>
      </c>
      <c r="D158" s="12">
        <v>8.6458060741424507</v>
      </c>
      <c r="E158" s="12">
        <v>18079.5315380096</v>
      </c>
      <c r="F158" s="12">
        <v>1036.075029654</v>
      </c>
      <c r="G158" s="41">
        <v>3.9820863988100103E-3</v>
      </c>
    </row>
    <row r="159" spans="1:7" x14ac:dyDescent="0.2">
      <c r="A159" s="12" t="s">
        <v>405</v>
      </c>
      <c r="B159" s="12">
        <v>75</v>
      </c>
      <c r="C159" s="12">
        <v>18111.718146085699</v>
      </c>
      <c r="D159" s="12">
        <v>8.7938079833984304</v>
      </c>
      <c r="E159" s="12">
        <v>18099.216140985402</v>
      </c>
      <c r="F159" s="12">
        <v>1211.1434731542699</v>
      </c>
      <c r="G159" s="41">
        <v>7.8190050130674104E-3</v>
      </c>
    </row>
    <row r="160" spans="1:7" x14ac:dyDescent="0.2">
      <c r="A160" s="12" t="s">
        <v>406</v>
      </c>
      <c r="B160" s="12">
        <v>75</v>
      </c>
      <c r="C160" s="12">
        <v>18111.385076999599</v>
      </c>
      <c r="D160" s="12">
        <v>8.9406270980834908</v>
      </c>
      <c r="E160" s="12">
        <v>18098.670042991602</v>
      </c>
      <c r="F160" s="12">
        <v>983.88941487912598</v>
      </c>
      <c r="G160" s="41">
        <v>8.3422601713361091E-3</v>
      </c>
    </row>
    <row r="161" spans="1:7" x14ac:dyDescent="0.2">
      <c r="A161" s="12" t="s">
        <v>407</v>
      </c>
      <c r="B161" s="12">
        <v>75</v>
      </c>
      <c r="C161" s="12">
        <v>18101.256250143</v>
      </c>
      <c r="D161" s="12">
        <v>8.5877091884613002</v>
      </c>
      <c r="E161" s="12">
        <v>18089.0679349899</v>
      </c>
      <c r="F161" s="12">
        <v>1082.0672993006301</v>
      </c>
      <c r="G161" s="41">
        <v>1.20315052187604E-3</v>
      </c>
    </row>
    <row r="162" spans="1:7" x14ac:dyDescent="0.2">
      <c r="A162" s="12" t="s">
        <v>408</v>
      </c>
      <c r="B162" s="12">
        <v>75</v>
      </c>
      <c r="C162" s="12">
        <v>18097.5324718952</v>
      </c>
      <c r="D162" s="12">
        <v>8.5928869247436506</v>
      </c>
      <c r="E162" s="12">
        <v>18085.300494909199</v>
      </c>
      <c r="F162" s="12">
        <v>1176.7639118480899</v>
      </c>
      <c r="G162" s="41">
        <v>4.3150971847264602E-2</v>
      </c>
    </row>
    <row r="163" spans="1:7" x14ac:dyDescent="0.2">
      <c r="A163" s="12" t="s">
        <v>409</v>
      </c>
      <c r="B163" s="12">
        <v>75</v>
      </c>
      <c r="C163" s="12">
        <v>18099.151335954601</v>
      </c>
      <c r="D163" s="12">
        <v>8.6086449623107892</v>
      </c>
      <c r="E163" s="12">
        <v>18086.931105852102</v>
      </c>
      <c r="F163" s="12">
        <v>1051.04137917668</v>
      </c>
      <c r="G163" s="41">
        <v>4.14150802945304E-2</v>
      </c>
    </row>
    <row r="164" spans="1:7" x14ac:dyDescent="0.2">
      <c r="A164" s="12" t="s">
        <v>410</v>
      </c>
      <c r="B164" s="12">
        <v>75</v>
      </c>
      <c r="C164" s="12">
        <v>18096.3007519245</v>
      </c>
      <c r="D164" s="12">
        <v>9.4180359840392995</v>
      </c>
      <c r="E164" s="12">
        <v>18082.938686847599</v>
      </c>
      <c r="F164" s="12">
        <v>1031.1262610875599</v>
      </c>
      <c r="G164" s="41">
        <v>4.5836960586661202E-2</v>
      </c>
    </row>
    <row r="165" spans="1:7" x14ac:dyDescent="0.2">
      <c r="A165" s="12" t="s">
        <v>411</v>
      </c>
      <c r="B165" s="12">
        <v>75</v>
      </c>
      <c r="C165" s="12">
        <v>18094.752922058098</v>
      </c>
      <c r="D165" s="12">
        <v>8.5892269611358607</v>
      </c>
      <c r="E165" s="12">
        <v>18082.580026864998</v>
      </c>
      <c r="F165" s="12">
        <v>1267.3050246382199</v>
      </c>
      <c r="G165" s="41">
        <v>5.2449526800211102E-2</v>
      </c>
    </row>
    <row r="166" spans="1:7" x14ac:dyDescent="0.2">
      <c r="A166" s="12" t="s">
        <v>412</v>
      </c>
      <c r="B166" s="12">
        <v>75</v>
      </c>
      <c r="C166" s="12">
        <v>18108.755208969102</v>
      </c>
      <c r="D166" s="12">
        <v>8.5997948646545392</v>
      </c>
      <c r="E166" s="12">
        <v>18096.523324012702</v>
      </c>
      <c r="F166" s="12">
        <v>988.98748922352604</v>
      </c>
      <c r="G166" s="41">
        <v>3.12595132708939E-2</v>
      </c>
    </row>
    <row r="167" spans="1:7" x14ac:dyDescent="0.2">
      <c r="A167" s="12" t="s">
        <v>413</v>
      </c>
      <c r="B167" s="12">
        <v>75</v>
      </c>
      <c r="C167" s="12">
        <v>18113.867371082299</v>
      </c>
      <c r="D167" s="12">
        <v>8.5803041458129794</v>
      </c>
      <c r="E167" s="12">
        <v>18101.686738014199</v>
      </c>
      <c r="F167" s="12">
        <v>1112.55122003832</v>
      </c>
      <c r="G167" s="41">
        <v>4.4782577559663403E-2</v>
      </c>
    </row>
    <row r="168" spans="1:7" x14ac:dyDescent="0.2">
      <c r="A168" s="12" t="s">
        <v>414</v>
      </c>
      <c r="B168" s="12">
        <v>75</v>
      </c>
      <c r="C168" s="12">
        <v>18091.4447529315</v>
      </c>
      <c r="D168" s="12">
        <v>8.5654609203338605</v>
      </c>
      <c r="E168" s="12">
        <v>18079.3003230094</v>
      </c>
      <c r="F168" s="12">
        <v>1116.2615562583701</v>
      </c>
      <c r="G168" s="41">
        <v>4.3398620280976803E-2</v>
      </c>
    </row>
    <row r="169" spans="1:7" x14ac:dyDescent="0.2">
      <c r="A169" s="12" t="s">
        <v>415</v>
      </c>
      <c r="B169" s="12">
        <v>75</v>
      </c>
      <c r="C169" s="12">
        <v>18096.0053899288</v>
      </c>
      <c r="D169" s="12">
        <v>8.5524578094482404</v>
      </c>
      <c r="E169" s="12">
        <v>18083.857423066998</v>
      </c>
      <c r="F169" s="12">
        <v>974.18129180121502</v>
      </c>
      <c r="G169" s="41">
        <v>3.9331384672366299E-2</v>
      </c>
    </row>
    <row r="170" spans="1:7" x14ac:dyDescent="0.2">
      <c r="A170" s="12" t="s">
        <v>416</v>
      </c>
      <c r="B170" s="12">
        <v>75</v>
      </c>
      <c r="C170" s="12">
        <v>18092.508140087099</v>
      </c>
      <c r="D170" s="12">
        <v>8.5941340923309308</v>
      </c>
      <c r="E170" s="12">
        <v>18080.314393997101</v>
      </c>
      <c r="F170" s="12">
        <v>1111.8314138298899</v>
      </c>
      <c r="G170" s="41">
        <v>4.07876178909021E-2</v>
      </c>
    </row>
    <row r="171" spans="1:7" x14ac:dyDescent="0.2">
      <c r="A171" s="12" t="s">
        <v>417</v>
      </c>
      <c r="B171" s="12">
        <v>75</v>
      </c>
      <c r="C171" s="12">
        <v>18088.572996139501</v>
      </c>
      <c r="D171" s="12">
        <v>8.5592122077941895</v>
      </c>
      <c r="E171" s="12">
        <v>18076.428349017999</v>
      </c>
      <c r="F171" s="12">
        <v>1261.41107038368</v>
      </c>
      <c r="G171" s="41">
        <v>4.2118096976202897E-2</v>
      </c>
    </row>
    <row r="172" spans="1:7" x14ac:dyDescent="0.2">
      <c r="A172" s="12" t="s">
        <v>418</v>
      </c>
      <c r="B172" s="12">
        <v>75</v>
      </c>
      <c r="C172" s="12">
        <v>18100.991199016498</v>
      </c>
      <c r="D172" s="12">
        <v>8.5493850708007795</v>
      </c>
      <c r="E172" s="12">
        <v>18088.847481012301</v>
      </c>
      <c r="F172" s="12">
        <v>1042.7466566637099</v>
      </c>
      <c r="G172" s="41">
        <v>4.7504584988322197E-2</v>
      </c>
    </row>
    <row r="173" spans="1:7" x14ac:dyDescent="0.2">
      <c r="A173" s="12" t="s">
        <v>419</v>
      </c>
      <c r="B173" s="12">
        <v>75</v>
      </c>
      <c r="C173" s="12">
        <v>18114.1434381008</v>
      </c>
      <c r="D173" s="12">
        <v>9.7391660213470406</v>
      </c>
      <c r="E173" s="12">
        <v>18100.308229207902</v>
      </c>
      <c r="F173" s="12">
        <v>1135.4995217565699</v>
      </c>
      <c r="G173" s="41">
        <v>3.7148525024884999E-2</v>
      </c>
    </row>
    <row r="174" spans="1:7" x14ac:dyDescent="0.2">
      <c r="A174" s="12" t="s">
        <v>420</v>
      </c>
      <c r="B174" s="12">
        <v>75</v>
      </c>
      <c r="C174" s="12">
        <v>18093.477842807701</v>
      </c>
      <c r="D174" s="12">
        <v>8.5622859001159597</v>
      </c>
      <c r="E174" s="12">
        <v>18081.328165054299</v>
      </c>
      <c r="F174" s="12">
        <v>1243.7530457110399</v>
      </c>
      <c r="G174" s="41">
        <v>5.4504826458437801E-2</v>
      </c>
    </row>
    <row r="175" spans="1:7" x14ac:dyDescent="0.2">
      <c r="A175" s="12" t="s">
        <v>421</v>
      </c>
      <c r="B175" s="12">
        <v>75</v>
      </c>
      <c r="C175" s="12">
        <v>18101.3628380298</v>
      </c>
      <c r="D175" s="12">
        <v>8.59073710441589</v>
      </c>
      <c r="E175" s="12">
        <v>18089.1725730896</v>
      </c>
      <c r="F175" s="12">
        <v>1103.3530268134</v>
      </c>
      <c r="G175" s="41">
        <v>4.3767751616016301E-2</v>
      </c>
    </row>
    <row r="176" spans="1:7" x14ac:dyDescent="0.2">
      <c r="A176" s="12" t="s">
        <v>422</v>
      </c>
      <c r="B176" s="12">
        <v>75</v>
      </c>
      <c r="C176" s="12">
        <v>18090.466583967202</v>
      </c>
      <c r="D176" s="12">
        <v>8.6040520668029696</v>
      </c>
      <c r="E176" s="12">
        <v>18078.259911060301</v>
      </c>
      <c r="F176" s="12">
        <v>1044.8904297915999</v>
      </c>
      <c r="G176" s="41">
        <v>3.9567660486622101E-2</v>
      </c>
    </row>
    <row r="177" spans="1:7" x14ac:dyDescent="0.2">
      <c r="A177" s="12" t="s">
        <v>423</v>
      </c>
      <c r="B177" s="12">
        <v>75</v>
      </c>
      <c r="C177" s="12">
        <v>18089.292869806199</v>
      </c>
      <c r="D177" s="12">
        <v>8.5673239231109601</v>
      </c>
      <c r="E177" s="12">
        <v>18077.142322063399</v>
      </c>
      <c r="F177" s="12">
        <v>1146.9469040664101</v>
      </c>
      <c r="G177" s="41">
        <v>2.2858490054109702E-2</v>
      </c>
    </row>
    <row r="178" spans="1:7" x14ac:dyDescent="0.2">
      <c r="A178" s="12" t="s">
        <v>424</v>
      </c>
      <c r="B178" s="12">
        <v>75</v>
      </c>
      <c r="C178" s="12">
        <v>18098.8402519226</v>
      </c>
      <c r="D178" s="12">
        <v>8.8425250053405708</v>
      </c>
      <c r="E178" s="12">
        <v>18086.216363191601</v>
      </c>
      <c r="F178" s="12">
        <v>1010.40912687338</v>
      </c>
      <c r="G178" s="41">
        <v>1.9130280941117898E-2</v>
      </c>
    </row>
    <row r="179" spans="1:7" x14ac:dyDescent="0.2">
      <c r="A179" s="12" t="s">
        <v>425</v>
      </c>
      <c r="B179" s="12">
        <v>75</v>
      </c>
      <c r="C179" s="12">
        <v>18092.4378199577</v>
      </c>
      <c r="D179" s="12">
        <v>8.5774588584899902</v>
      </c>
      <c r="E179" s="12">
        <v>18080.258308887402</v>
      </c>
      <c r="F179" s="12">
        <v>1087.7088675254299</v>
      </c>
      <c r="G179" s="41">
        <v>3.76790237377818E-2</v>
      </c>
    </row>
    <row r="180" spans="1:7" x14ac:dyDescent="0.2">
      <c r="A180" s="12" t="s">
        <v>426</v>
      </c>
      <c r="B180" s="12">
        <v>75</v>
      </c>
      <c r="C180" s="12">
        <v>18094.153896808599</v>
      </c>
      <c r="D180" s="12">
        <v>8.5475368499755806</v>
      </c>
      <c r="E180" s="12">
        <v>18082.0222229957</v>
      </c>
      <c r="F180" s="12">
        <v>1176.1715171184101</v>
      </c>
      <c r="G180" s="41">
        <v>2.9660144285927399E-2</v>
      </c>
    </row>
    <row r="181" spans="1:7" x14ac:dyDescent="0.2">
      <c r="A181" s="12" t="s">
        <v>427</v>
      </c>
      <c r="B181" s="12">
        <v>75</v>
      </c>
      <c r="C181" s="12">
        <v>18094.175058841702</v>
      </c>
      <c r="D181" s="12">
        <v>8.6087369918823207</v>
      </c>
      <c r="E181" s="12">
        <v>18081.962053060499</v>
      </c>
      <c r="F181" s="12">
        <v>958.01375174909901</v>
      </c>
      <c r="G181" s="41">
        <v>1.5583217675548201E-2</v>
      </c>
    </row>
    <row r="182" spans="1:7" x14ac:dyDescent="0.2">
      <c r="A182" s="12" t="s">
        <v>428</v>
      </c>
      <c r="B182" s="12">
        <v>75</v>
      </c>
      <c r="C182" s="12">
        <v>18086.2704470157</v>
      </c>
      <c r="D182" s="12">
        <v>8.6166930198669398</v>
      </c>
      <c r="E182" s="12">
        <v>18073.931324005101</v>
      </c>
      <c r="F182" s="12">
        <v>1115.63990969167</v>
      </c>
      <c r="G182" s="41">
        <v>2.73775122507641E-2</v>
      </c>
    </row>
    <row r="183" spans="1:7" x14ac:dyDescent="0.2">
      <c r="A183" s="12" t="s">
        <v>429</v>
      </c>
      <c r="B183" s="12">
        <v>75</v>
      </c>
      <c r="C183" s="12">
        <v>18097.873136043501</v>
      </c>
      <c r="D183" s="12">
        <v>8.5920901298522896</v>
      </c>
      <c r="E183" s="12">
        <v>18085.6854670047</v>
      </c>
      <c r="F183" s="12">
        <v>1056.3240956131499</v>
      </c>
      <c r="G183" s="41">
        <v>1.2103880307772199E-2</v>
      </c>
    </row>
    <row r="184" spans="1:7" x14ac:dyDescent="0.2">
      <c r="A184" s="12" t="s">
        <v>430</v>
      </c>
      <c r="B184" s="12">
        <v>75</v>
      </c>
      <c r="C184" s="12">
        <v>18084.290158033298</v>
      </c>
      <c r="D184" s="12">
        <v>8.6356911659240705</v>
      </c>
      <c r="E184" s="12">
        <v>18071.932415962201</v>
      </c>
      <c r="F184" s="12">
        <v>934.09578353224595</v>
      </c>
      <c r="G184" s="41">
        <v>2.6845906658248399E-2</v>
      </c>
    </row>
    <row r="185" spans="1:7" x14ac:dyDescent="0.2">
      <c r="A185" s="12" t="s">
        <v>431</v>
      </c>
      <c r="B185" s="12">
        <v>75</v>
      </c>
      <c r="C185" s="12">
        <v>18097.1949021816</v>
      </c>
      <c r="D185" s="12">
        <v>8.5549101829528809</v>
      </c>
      <c r="E185" s="12">
        <v>18085.004595994898</v>
      </c>
      <c r="F185" s="12">
        <v>1077.2243285561799</v>
      </c>
      <c r="G185" s="41">
        <v>1.8492115739278399E-2</v>
      </c>
    </row>
    <row r="186" spans="1:7" x14ac:dyDescent="0.2">
      <c r="A186" s="12" t="s">
        <v>432</v>
      </c>
      <c r="B186" s="12">
        <v>75</v>
      </c>
      <c r="C186" s="12">
        <v>18094.751457214301</v>
      </c>
      <c r="D186" s="12">
        <v>8.5709760189056396</v>
      </c>
      <c r="E186" s="12">
        <v>18082.597934007601</v>
      </c>
      <c r="F186" s="12">
        <v>1260.5828738918799</v>
      </c>
      <c r="G186" s="41">
        <v>8.0589944801386093E-2</v>
      </c>
    </row>
    <row r="187" spans="1:7" x14ac:dyDescent="0.2">
      <c r="A187" s="12" t="s">
        <v>433</v>
      </c>
      <c r="B187" s="12">
        <v>75</v>
      </c>
      <c r="C187" s="12">
        <v>18096.050481081002</v>
      </c>
      <c r="D187" s="12">
        <v>8.60640096664428</v>
      </c>
      <c r="E187" s="12">
        <v>18083.849529027899</v>
      </c>
      <c r="F187" s="12">
        <v>951.15627941869798</v>
      </c>
      <c r="G187" s="41">
        <v>2.0944491544989601E-2</v>
      </c>
    </row>
    <row r="188" spans="1:7" x14ac:dyDescent="0.2">
      <c r="A188" s="12" t="s">
        <v>434</v>
      </c>
      <c r="B188" s="12">
        <v>75</v>
      </c>
      <c r="C188" s="12">
        <v>18087.660123109799</v>
      </c>
      <c r="D188" s="12">
        <v>8.60318922996521</v>
      </c>
      <c r="E188" s="12">
        <v>18075.409794092098</v>
      </c>
      <c r="F188" s="12">
        <v>1082.8985745006</v>
      </c>
      <c r="G188" s="41">
        <v>6.0484515066711597E-2</v>
      </c>
    </row>
    <row r="189" spans="1:7" x14ac:dyDescent="0.2">
      <c r="A189" s="12" t="s">
        <v>435</v>
      </c>
      <c r="B189" s="12">
        <v>75</v>
      </c>
      <c r="C189" s="12">
        <v>18091.210317850098</v>
      </c>
      <c r="D189" s="12">
        <v>8.6229798793792707</v>
      </c>
      <c r="E189" s="12">
        <v>18078.9916908741</v>
      </c>
      <c r="F189" s="12">
        <v>1246.6292763860099</v>
      </c>
      <c r="G189" s="41">
        <v>2.6898454942927801E-2</v>
      </c>
    </row>
    <row r="190" spans="1:7" x14ac:dyDescent="0.2">
      <c r="A190" s="12" t="s">
        <v>436</v>
      </c>
      <c r="B190" s="12">
        <v>75</v>
      </c>
      <c r="C190" s="12">
        <v>18090.901078939401</v>
      </c>
      <c r="D190" s="12">
        <v>8.5789740085601807</v>
      </c>
      <c r="E190" s="12">
        <v>18078.729848146399</v>
      </c>
      <c r="F190" s="12">
        <v>1002.24755353701</v>
      </c>
      <c r="G190" s="41">
        <v>2.5393009218094901E-2</v>
      </c>
    </row>
    <row r="191" spans="1:7" x14ac:dyDescent="0.2">
      <c r="A191" s="12" t="s">
        <v>437</v>
      </c>
      <c r="B191" s="12">
        <v>75</v>
      </c>
      <c r="C191" s="12">
        <v>18092.7156710624</v>
      </c>
      <c r="D191" s="12">
        <v>8.6040558815002406</v>
      </c>
      <c r="E191" s="12">
        <v>18080.514008998802</v>
      </c>
      <c r="F191" s="12">
        <v>993.61885613363597</v>
      </c>
      <c r="G191" s="41">
        <v>1.54851814815794E-2</v>
      </c>
    </row>
    <row r="192" spans="1:7" x14ac:dyDescent="0.2">
      <c r="A192" s="12" t="s">
        <v>438</v>
      </c>
      <c r="B192" s="12">
        <v>75</v>
      </c>
      <c r="C192" s="12">
        <v>11435.707032918899</v>
      </c>
      <c r="D192" s="12">
        <v>8.5095949172973597</v>
      </c>
      <c r="E192" s="12">
        <v>11423.616945981899</v>
      </c>
      <c r="F192" s="12">
        <v>1190.59399975412</v>
      </c>
      <c r="G192" s="41" t="s">
        <v>333</v>
      </c>
    </row>
    <row r="193" spans="1:7" x14ac:dyDescent="0.2">
      <c r="A193" s="12" t="s">
        <v>439</v>
      </c>
      <c r="B193" s="12">
        <v>75</v>
      </c>
      <c r="C193" s="12">
        <v>18097.252058982798</v>
      </c>
      <c r="D193" s="12">
        <v>8.5796360969543404</v>
      </c>
      <c r="E193" s="12">
        <v>18085.0748450756</v>
      </c>
      <c r="F193" s="12">
        <v>1153.4681915577601</v>
      </c>
      <c r="G193" s="41">
        <v>1.43238482446214E-2</v>
      </c>
    </row>
    <row r="194" spans="1:7" x14ac:dyDescent="0.2">
      <c r="A194" s="12" t="s">
        <v>440</v>
      </c>
      <c r="B194" s="12">
        <v>75</v>
      </c>
      <c r="C194" s="12">
        <v>4121.2442889213498</v>
      </c>
      <c r="D194" s="12">
        <v>8.63159084320068</v>
      </c>
      <c r="E194" s="12">
        <v>4109.0121729373896</v>
      </c>
      <c r="F194" s="12">
        <v>1052.12027568899</v>
      </c>
      <c r="G194" s="41" t="s">
        <v>333</v>
      </c>
    </row>
    <row r="195" spans="1:7" x14ac:dyDescent="0.2">
      <c r="A195" s="12" t="s">
        <v>441</v>
      </c>
      <c r="B195" s="12">
        <v>75</v>
      </c>
      <c r="C195" s="12">
        <v>18095.194708108898</v>
      </c>
      <c r="D195" s="12">
        <v>8.6140470504760707</v>
      </c>
      <c r="E195" s="12">
        <v>18082.990881919799</v>
      </c>
      <c r="F195" s="12">
        <v>1363.02793838192</v>
      </c>
      <c r="G195" s="41">
        <v>1.8451225430029701E-2</v>
      </c>
    </row>
    <row r="196" spans="1:7" x14ac:dyDescent="0.2">
      <c r="A196" s="12" t="s">
        <v>442</v>
      </c>
      <c r="B196" s="12">
        <v>75</v>
      </c>
      <c r="C196" s="12">
        <v>4662.1283218860599</v>
      </c>
      <c r="D196" s="12">
        <v>8.5920429229736293</v>
      </c>
      <c r="E196" s="12">
        <v>4649.9435589313498</v>
      </c>
      <c r="F196" s="12">
        <v>951.58684426628304</v>
      </c>
      <c r="G196" s="41" t="s">
        <v>333</v>
      </c>
    </row>
    <row r="197" spans="1:7" x14ac:dyDescent="0.2">
      <c r="A197" s="12" t="s">
        <v>443</v>
      </c>
      <c r="B197" s="12">
        <v>75</v>
      </c>
      <c r="C197" s="12">
        <v>18094.159358978199</v>
      </c>
      <c r="D197" s="12">
        <v>8.6103181838989205</v>
      </c>
      <c r="E197" s="12">
        <v>18081.948394060099</v>
      </c>
      <c r="F197" s="12">
        <v>1091.9596133119801</v>
      </c>
      <c r="G197" s="41">
        <v>1.18619219207768E-2</v>
      </c>
    </row>
    <row r="198" spans="1:7" x14ac:dyDescent="0.2">
      <c r="A198" s="12" t="s">
        <v>444</v>
      </c>
      <c r="B198" s="12">
        <v>75</v>
      </c>
      <c r="C198" s="12">
        <v>18090.7195301055</v>
      </c>
      <c r="D198" s="12">
        <v>8.5938639640808105</v>
      </c>
      <c r="E198" s="12">
        <v>18078.5464789867</v>
      </c>
      <c r="F198" s="12">
        <v>1112.5712997053299</v>
      </c>
      <c r="G198" s="41">
        <v>7.4807449876086096E-3</v>
      </c>
    </row>
    <row r="199" spans="1:7" x14ac:dyDescent="0.2">
      <c r="A199" s="12" t="s">
        <v>445</v>
      </c>
      <c r="B199" s="12">
        <v>75</v>
      </c>
      <c r="C199" s="12">
        <v>18093.0482838153</v>
      </c>
      <c r="D199" s="12">
        <v>8.5812249183654696</v>
      </c>
      <c r="E199" s="12">
        <v>18080.884712934399</v>
      </c>
      <c r="F199" s="12">
        <v>963.62505688458305</v>
      </c>
      <c r="G199" s="41">
        <v>6.7456357076582903E-3</v>
      </c>
    </row>
    <row r="200" spans="1:7" x14ac:dyDescent="0.2">
      <c r="A200" s="12" t="s">
        <v>446</v>
      </c>
      <c r="B200" s="12">
        <v>75</v>
      </c>
      <c r="C200" s="12">
        <v>18089.7834758758</v>
      </c>
      <c r="D200" s="12">
        <v>8.5602428913116402</v>
      </c>
      <c r="E200" s="12">
        <v>18077.619525909398</v>
      </c>
      <c r="F200" s="12">
        <v>1079.1994693847801</v>
      </c>
      <c r="G200" s="41">
        <v>1.1342006984102501E-2</v>
      </c>
    </row>
    <row r="201" spans="1:7" x14ac:dyDescent="0.2">
      <c r="A201" s="12" t="s">
        <v>447</v>
      </c>
      <c r="B201" s="12">
        <v>75</v>
      </c>
      <c r="C201" s="12">
        <v>18091.065428972201</v>
      </c>
      <c r="D201" s="12">
        <v>8.6085460186004603</v>
      </c>
      <c r="E201" s="12">
        <v>18078.864392042098</v>
      </c>
      <c r="F201" s="12">
        <v>1252.6203174064301</v>
      </c>
      <c r="G201" s="41">
        <v>8.9538161499986696E-3</v>
      </c>
    </row>
    <row r="202" spans="1:7" x14ac:dyDescent="0.2">
      <c r="A202" s="12" t="s">
        <v>448</v>
      </c>
      <c r="B202" s="12">
        <v>75</v>
      </c>
      <c r="C202" s="12">
        <v>11150.2098081111</v>
      </c>
      <c r="D202" s="12">
        <v>8.6147420406341499</v>
      </c>
      <c r="E202" s="12">
        <v>11137.997574090899</v>
      </c>
      <c r="F202" s="12">
        <v>940.63059945557404</v>
      </c>
      <c r="G202" s="41" t="s">
        <v>333</v>
      </c>
    </row>
    <row r="203" spans="1:7" x14ac:dyDescent="0.2">
      <c r="A203" s="12" t="s">
        <v>449</v>
      </c>
      <c r="B203" s="12">
        <v>75</v>
      </c>
      <c r="C203" s="12">
        <v>18090.0728909969</v>
      </c>
      <c r="D203" s="12">
        <v>8.5412368774413991</v>
      </c>
      <c r="E203" s="12">
        <v>18077.942605018601</v>
      </c>
      <c r="F203" s="12">
        <v>1115.7540783797999</v>
      </c>
      <c r="G203" s="41">
        <v>7.5947428796686797E-3</v>
      </c>
    </row>
    <row r="204" spans="1:7" x14ac:dyDescent="0.2">
      <c r="A204" s="12" t="s">
        <v>450</v>
      </c>
      <c r="B204" s="12">
        <v>75</v>
      </c>
      <c r="C204" s="12">
        <v>4355.2754628658204</v>
      </c>
      <c r="D204" s="12">
        <v>8.4993348121642995</v>
      </c>
      <c r="E204" s="12">
        <v>4343.1953761577597</v>
      </c>
      <c r="F204" s="12">
        <v>1194.46676216066</v>
      </c>
      <c r="G204" s="41" t="s">
        <v>333</v>
      </c>
    </row>
    <row r="205" spans="1:7" x14ac:dyDescent="0.2">
      <c r="A205" s="12" t="s">
        <v>451</v>
      </c>
      <c r="B205" s="12">
        <v>75</v>
      </c>
      <c r="C205" s="12">
        <v>17913.848313093102</v>
      </c>
      <c r="D205" s="12">
        <v>8.5906860828399605</v>
      </c>
      <c r="E205" s="12">
        <v>17901.6044180393</v>
      </c>
      <c r="F205" s="12">
        <v>1016.56903345914</v>
      </c>
      <c r="G205" s="41" t="s">
        <v>333</v>
      </c>
    </row>
    <row r="206" spans="1:7" x14ac:dyDescent="0.2">
      <c r="A206" s="12" t="s">
        <v>452</v>
      </c>
      <c r="B206" s="12">
        <v>75</v>
      </c>
      <c r="C206" s="12">
        <v>11922.9768908023</v>
      </c>
      <c r="D206" s="12">
        <v>9.1395878791808993</v>
      </c>
      <c r="E206" s="12">
        <v>11909.924808979</v>
      </c>
      <c r="F206" s="12">
        <v>1050.01475005119</v>
      </c>
      <c r="G206" s="41" t="s">
        <v>333</v>
      </c>
    </row>
    <row r="207" spans="1:7" s="33" customFormat="1" x14ac:dyDescent="0.2">
      <c r="G207" s="42"/>
    </row>
    <row r="208" spans="1:7" x14ac:dyDescent="0.2">
      <c r="A208" s="11" t="s">
        <v>301</v>
      </c>
      <c r="C208" s="11">
        <v>18120.852283000899</v>
      </c>
      <c r="D208" s="11">
        <v>8.6256070137023908</v>
      </c>
      <c r="E208" s="11">
        <v>18108.459537982901</v>
      </c>
      <c r="F208" s="11">
        <v>1515.65495087261</v>
      </c>
      <c r="G208" s="40">
        <v>1.8393239803217099E-2</v>
      </c>
    </row>
    <row r="209" spans="1:7" x14ac:dyDescent="0.2">
      <c r="A209" s="12" t="s">
        <v>303</v>
      </c>
      <c r="C209" s="12">
        <v>18116.067315816799</v>
      </c>
      <c r="D209" s="12">
        <v>8.9657139778137207</v>
      </c>
      <c r="E209" s="12">
        <v>18103.157053232098</v>
      </c>
      <c r="F209" s="12">
        <v>1295.0570357398999</v>
      </c>
      <c r="G209" s="41">
        <v>2.6562197120207801E-2</v>
      </c>
    </row>
    <row r="210" spans="1:7" x14ac:dyDescent="0.2">
      <c r="A210" s="12" t="s">
        <v>304</v>
      </c>
      <c r="C210" s="12">
        <v>18120.3080561161</v>
      </c>
      <c r="D210" s="12">
        <v>8.5615501403808594</v>
      </c>
      <c r="E210" s="12">
        <v>18108.014887094399</v>
      </c>
      <c r="F210" s="12">
        <v>1304.9657319792</v>
      </c>
      <c r="G210" s="41">
        <v>2.1434985825998801E-2</v>
      </c>
    </row>
    <row r="211" spans="1:7" x14ac:dyDescent="0.2">
      <c r="A211" s="12" t="s">
        <v>342</v>
      </c>
      <c r="C211" s="12">
        <v>18089.719990968701</v>
      </c>
      <c r="D211" s="12">
        <v>8.6163899898528999</v>
      </c>
      <c r="E211" s="12">
        <v>18077.3244020938</v>
      </c>
      <c r="F211" s="12">
        <v>1673.5246571820201</v>
      </c>
      <c r="G211" s="41">
        <v>4.1499032084366602E-2</v>
      </c>
    </row>
    <row r="212" spans="1:7" x14ac:dyDescent="0.2">
      <c r="A212" s="12" t="s">
        <v>305</v>
      </c>
      <c r="C212" s="12">
        <v>18099.685709953301</v>
      </c>
      <c r="D212" s="12">
        <v>8.5891988277435303</v>
      </c>
      <c r="E212" s="12">
        <v>18087.313011884598</v>
      </c>
      <c r="F212" s="12">
        <v>1221.1971682133101</v>
      </c>
      <c r="G212" s="41">
        <v>1.68125592497201E-2</v>
      </c>
    </row>
    <row r="213" spans="1:7" x14ac:dyDescent="0.2">
      <c r="A213" s="12" t="s">
        <v>306</v>
      </c>
      <c r="C213" s="12">
        <v>18112.737385988199</v>
      </c>
      <c r="D213" s="12">
        <v>8.6202001571655202</v>
      </c>
      <c r="E213" s="12">
        <v>18100.372220039299</v>
      </c>
      <c r="F213" s="12">
        <v>1327.4163796973201</v>
      </c>
      <c r="G213" s="41">
        <v>2.95628511403194E-2</v>
      </c>
    </row>
    <row r="214" spans="1:7" x14ac:dyDescent="0.2">
      <c r="A214" s="12" t="s">
        <v>307</v>
      </c>
      <c r="C214" s="12">
        <v>18103.504799842802</v>
      </c>
      <c r="D214" s="12">
        <v>8.6454579830169607</v>
      </c>
      <c r="E214" s="12">
        <v>18091.131712913499</v>
      </c>
      <c r="F214" s="12">
        <v>1412.0492783812599</v>
      </c>
      <c r="G214" s="41">
        <v>1.16348812824617E-2</v>
      </c>
    </row>
    <row r="215" spans="1:7" x14ac:dyDescent="0.2">
      <c r="A215" s="12" t="s">
        <v>308</v>
      </c>
      <c r="C215" s="12">
        <v>18108.781451225201</v>
      </c>
      <c r="D215" s="12">
        <v>8.6242871284484792</v>
      </c>
      <c r="E215" s="12">
        <v>18096.415920972799</v>
      </c>
      <c r="F215" s="12">
        <v>1159.7929812698001</v>
      </c>
      <c r="G215" s="41">
        <v>2.6342966872660401E-2</v>
      </c>
    </row>
    <row r="216" spans="1:7" x14ac:dyDescent="0.2">
      <c r="A216" s="12" t="s">
        <v>309</v>
      </c>
      <c r="C216" s="12">
        <v>18103.330178022301</v>
      </c>
      <c r="D216" s="12">
        <v>8.5078239440917898</v>
      </c>
      <c r="E216" s="12">
        <v>18091.0582828521</v>
      </c>
      <c r="F216" s="12">
        <v>1415.4190891747401</v>
      </c>
      <c r="G216" s="41">
        <v>2.1223056008042099E-2</v>
      </c>
    </row>
    <row r="217" spans="1:7" x14ac:dyDescent="0.2">
      <c r="A217" s="12" t="s">
        <v>310</v>
      </c>
      <c r="C217" s="12">
        <v>18098.606912136001</v>
      </c>
      <c r="D217" s="12">
        <v>8.6356220245361293</v>
      </c>
      <c r="E217" s="12">
        <v>18086.237718820499</v>
      </c>
      <c r="F217" s="12">
        <v>1617.0824695271699</v>
      </c>
      <c r="G217" s="41">
        <v>1.8213590879039801E-2</v>
      </c>
    </row>
    <row r="218" spans="1:7" x14ac:dyDescent="0.2">
      <c r="A218" s="12" t="s">
        <v>343</v>
      </c>
      <c r="C218" s="12">
        <v>18113.898733139002</v>
      </c>
      <c r="D218" s="12">
        <v>8.6517560482025093</v>
      </c>
      <c r="E218" s="12">
        <v>18101.482788085901</v>
      </c>
      <c r="F218" s="12">
        <v>1224.45771448497</v>
      </c>
      <c r="G218" s="41">
        <v>1.48701689853812E-2</v>
      </c>
    </row>
    <row r="219" spans="1:7" x14ac:dyDescent="0.2">
      <c r="A219" s="12" t="s">
        <v>344</v>
      </c>
      <c r="C219" s="12">
        <v>18114.524888992299</v>
      </c>
      <c r="D219" s="12">
        <v>8.6333711147308296</v>
      </c>
      <c r="E219" s="12">
        <v>18102.091231107701</v>
      </c>
      <c r="F219" s="12">
        <v>1248.39675132293</v>
      </c>
      <c r="G219" s="41">
        <v>9.4582368194999697E-3</v>
      </c>
    </row>
    <row r="220" spans="1:7" x14ac:dyDescent="0.2">
      <c r="A220" s="12" t="s">
        <v>311</v>
      </c>
      <c r="C220" s="12">
        <v>18135.4858851432</v>
      </c>
      <c r="D220" s="12">
        <v>8.9263551235198904</v>
      </c>
      <c r="E220" s="12">
        <v>18122.637984991001</v>
      </c>
      <c r="F220" s="12">
        <v>1527.76823576838</v>
      </c>
      <c r="G220" s="41">
        <v>2.0502432462488701E-2</v>
      </c>
    </row>
    <row r="221" spans="1:7" x14ac:dyDescent="0.2">
      <c r="A221" s="12" t="s">
        <v>312</v>
      </c>
      <c r="C221" s="12">
        <v>18085.803107023199</v>
      </c>
      <c r="D221" s="12">
        <v>8.70322489738464</v>
      </c>
      <c r="E221" s="12">
        <v>18073.2564668655</v>
      </c>
      <c r="F221" s="12" t="s">
        <v>453</v>
      </c>
      <c r="G221" s="41" t="s">
        <v>454</v>
      </c>
    </row>
    <row r="222" spans="1:7" x14ac:dyDescent="0.2">
      <c r="A222" s="12" t="s">
        <v>313</v>
      </c>
      <c r="C222" s="12">
        <v>18109.183350801399</v>
      </c>
      <c r="D222" s="12">
        <v>9.1273980140686</v>
      </c>
      <c r="E222" s="12">
        <v>18096.076886892301</v>
      </c>
      <c r="F222" s="12">
        <v>1314.16435935392</v>
      </c>
      <c r="G222" s="41">
        <v>1.0247417803933999E-2</v>
      </c>
    </row>
    <row r="223" spans="1:7" x14ac:dyDescent="0.2">
      <c r="A223" s="12" t="s">
        <v>345</v>
      </c>
      <c r="C223" s="12">
        <v>18100.431604862199</v>
      </c>
      <c r="D223" s="12">
        <v>9.2501850128173793</v>
      </c>
      <c r="E223" s="12">
        <v>18087.1488010883</v>
      </c>
      <c r="F223" s="12">
        <v>1446.15799120217</v>
      </c>
      <c r="G223" s="41">
        <v>8.8031609787116299E-2</v>
      </c>
    </row>
    <row r="224" spans="1:7" x14ac:dyDescent="0.2">
      <c r="A224" s="12" t="s">
        <v>314</v>
      </c>
      <c r="C224" s="12">
        <v>18114.638758897701</v>
      </c>
      <c r="D224" s="12">
        <v>9.4515860080718994</v>
      </c>
      <c r="E224" s="12">
        <v>18100.9784271717</v>
      </c>
      <c r="F224" s="12">
        <v>1326.9205304228799</v>
      </c>
      <c r="G224" s="41">
        <v>5.5393794319610098E-2</v>
      </c>
    </row>
    <row r="225" spans="1:7" x14ac:dyDescent="0.2">
      <c r="A225" s="12" t="s">
        <v>346</v>
      </c>
      <c r="C225" s="12">
        <v>18098.488793134598</v>
      </c>
      <c r="D225" s="12">
        <v>8.6113531589508003</v>
      </c>
      <c r="E225" s="12">
        <v>18086.1008040905</v>
      </c>
      <c r="F225" s="12">
        <v>1278.7711529554999</v>
      </c>
      <c r="G225" s="41">
        <v>8.3820863675739196E-2</v>
      </c>
    </row>
    <row r="226" spans="1:7" x14ac:dyDescent="0.2">
      <c r="A226" s="12" t="s">
        <v>368</v>
      </c>
      <c r="C226" s="12">
        <v>18107.449262142101</v>
      </c>
      <c r="D226" s="12">
        <v>9.2282590866088796</v>
      </c>
      <c r="E226" s="12">
        <v>18094.218405008301</v>
      </c>
      <c r="F226" s="12" t="s">
        <v>453</v>
      </c>
      <c r="G226" s="41" t="s">
        <v>454</v>
      </c>
    </row>
    <row r="227" spans="1:7" x14ac:dyDescent="0.2">
      <c r="A227" s="12" t="s">
        <v>369</v>
      </c>
      <c r="C227" s="12">
        <v>18111.303483963002</v>
      </c>
      <c r="D227" s="12">
        <v>8.7274367809295601</v>
      </c>
      <c r="E227" s="12">
        <v>18098.770021915399</v>
      </c>
      <c r="F227" s="12">
        <v>1221.1520491661799</v>
      </c>
      <c r="G227" s="41">
        <v>4.53627795741244E-2</v>
      </c>
    </row>
    <row r="228" spans="1:7" x14ac:dyDescent="0.2">
      <c r="A228" s="12" t="s">
        <v>370</v>
      </c>
      <c r="C228" s="12">
        <v>18108.824836969299</v>
      </c>
      <c r="D228" s="12">
        <v>8.8208649158477694</v>
      </c>
      <c r="E228" s="12">
        <v>18096.1307251453</v>
      </c>
      <c r="F228" s="12">
        <v>1406.9023777433199</v>
      </c>
      <c r="G228" s="41">
        <v>6.6717892921803301E-2</v>
      </c>
    </row>
    <row r="229" spans="1:7" x14ac:dyDescent="0.2">
      <c r="A229" s="12" t="s">
        <v>347</v>
      </c>
      <c r="C229" s="12">
        <v>18102.185633897701</v>
      </c>
      <c r="D229" s="12">
        <v>8.9358339309692294</v>
      </c>
      <c r="E229" s="12">
        <v>18089.346467971802</v>
      </c>
      <c r="F229" s="12" t="s">
        <v>453</v>
      </c>
      <c r="G229" s="41" t="s">
        <v>454</v>
      </c>
    </row>
    <row r="230" spans="1:7" x14ac:dyDescent="0.2">
      <c r="A230" s="12" t="s">
        <v>348</v>
      </c>
      <c r="C230" s="12">
        <v>18117.1692879199</v>
      </c>
      <c r="D230" s="12">
        <v>8.96726202964782</v>
      </c>
      <c r="E230" s="12">
        <v>18104.289582014</v>
      </c>
      <c r="F230" s="12">
        <v>1219.59173719828</v>
      </c>
      <c r="G230" s="41">
        <v>5.3996469076930002E-2</v>
      </c>
    </row>
    <row r="231" spans="1:7" x14ac:dyDescent="0.2">
      <c r="A231" s="12" t="s">
        <v>315</v>
      </c>
      <c r="C231" s="12">
        <v>18112.697957992499</v>
      </c>
      <c r="D231" s="12">
        <v>8.9786739349365199</v>
      </c>
      <c r="E231" s="12">
        <v>18099.798730850202</v>
      </c>
      <c r="F231" s="12">
        <v>1428.7928010058399</v>
      </c>
      <c r="G231" s="41">
        <v>6.8003835018536796E-2</v>
      </c>
    </row>
    <row r="232" spans="1:7" x14ac:dyDescent="0.2">
      <c r="A232" s="12" t="s">
        <v>349</v>
      </c>
      <c r="C232" s="12">
        <v>18108.856997013001</v>
      </c>
      <c r="D232" s="12">
        <v>8.9112207889556796</v>
      </c>
      <c r="E232" s="12">
        <v>18096.0438120365</v>
      </c>
      <c r="F232" s="12" t="s">
        <v>453</v>
      </c>
      <c r="G232" s="41" t="s">
        <v>454</v>
      </c>
    </row>
    <row r="233" spans="1:7" x14ac:dyDescent="0.2">
      <c r="A233" s="12" t="s">
        <v>316</v>
      </c>
      <c r="C233" s="12">
        <v>18120.354377031301</v>
      </c>
      <c r="D233" s="12">
        <v>8.9807419776916504</v>
      </c>
      <c r="E233" s="12">
        <v>18107.448801994298</v>
      </c>
      <c r="F233" s="12">
        <v>1313.1071781163</v>
      </c>
      <c r="G233" s="41">
        <v>7.32986170179354E-2</v>
      </c>
    </row>
    <row r="234" spans="1:7" x14ac:dyDescent="0.2">
      <c r="A234" s="12" t="s">
        <v>350</v>
      </c>
      <c r="C234" s="12">
        <v>18100.4091598987</v>
      </c>
      <c r="D234" s="12">
        <v>8.9758930206298793</v>
      </c>
      <c r="E234" s="12">
        <v>18087.494302034302</v>
      </c>
      <c r="F234" s="12">
        <v>1447.5988753934901</v>
      </c>
      <c r="G234" s="41">
        <v>0.114334520660167</v>
      </c>
    </row>
    <row r="235" spans="1:7" x14ac:dyDescent="0.2">
      <c r="A235" s="12" t="s">
        <v>351</v>
      </c>
      <c r="C235" s="12">
        <v>18113.636203050599</v>
      </c>
      <c r="D235" s="12">
        <v>8.9226720333099294</v>
      </c>
      <c r="E235" s="12">
        <v>18100.818549871401</v>
      </c>
      <c r="F235" s="12">
        <v>1554.3579355004499</v>
      </c>
      <c r="G235" s="41">
        <v>5.6754331029209598E-2</v>
      </c>
    </row>
    <row r="236" spans="1:7" x14ac:dyDescent="0.2">
      <c r="A236" s="12" t="s">
        <v>352</v>
      </c>
      <c r="C236" s="12">
        <v>18132.928090095498</v>
      </c>
      <c r="D236" s="12">
        <v>8.9322791099548304</v>
      </c>
      <c r="E236" s="12">
        <v>18120.0860249996</v>
      </c>
      <c r="F236" s="12">
        <v>1321.8286893049701</v>
      </c>
      <c r="G236" s="41">
        <v>5.9763760960492497E-2</v>
      </c>
    </row>
    <row r="237" spans="1:7" x14ac:dyDescent="0.2">
      <c r="A237" s="12" t="s">
        <v>353</v>
      </c>
      <c r="C237" s="12">
        <v>18113.722637176499</v>
      </c>
      <c r="D237" s="12">
        <v>8.7801530361175502</v>
      </c>
      <c r="E237" s="12">
        <v>18101.051084041501</v>
      </c>
      <c r="F237" s="12">
        <v>1326.60945859717</v>
      </c>
      <c r="G237" s="41">
        <v>5.4071482211355201E-2</v>
      </c>
    </row>
    <row r="238" spans="1:7" x14ac:dyDescent="0.2">
      <c r="A238" s="12" t="s">
        <v>354</v>
      </c>
      <c r="C238" s="12">
        <v>18107.771520852999</v>
      </c>
      <c r="D238" s="12">
        <v>8.6290769577026296</v>
      </c>
      <c r="E238" s="12">
        <v>18095.367311000799</v>
      </c>
      <c r="F238" s="12">
        <v>1518.8205279548299</v>
      </c>
      <c r="G238" s="41">
        <v>3.0392176762043401E-2</v>
      </c>
    </row>
    <row r="239" spans="1:7" x14ac:dyDescent="0.2">
      <c r="A239" s="12" t="s">
        <v>317</v>
      </c>
      <c r="C239" s="12">
        <v>18090.085736036301</v>
      </c>
      <c r="D239" s="12">
        <v>8.6194760799407906</v>
      </c>
      <c r="E239" s="12">
        <v>18077.688073873502</v>
      </c>
      <c r="F239" s="12">
        <v>1272.59737716979</v>
      </c>
      <c r="G239" s="41">
        <v>6.6103397666634006E-2</v>
      </c>
    </row>
    <row r="240" spans="1:7" x14ac:dyDescent="0.2">
      <c r="A240" s="12" t="s">
        <v>318</v>
      </c>
      <c r="C240" s="12">
        <v>18092.200581073699</v>
      </c>
      <c r="D240" s="12">
        <v>8.5851299762725795</v>
      </c>
      <c r="E240" s="12">
        <v>18079.767635107</v>
      </c>
      <c r="F240" s="12">
        <v>1314.80156483668</v>
      </c>
      <c r="G240" s="41">
        <v>6.3369426113980901E-2</v>
      </c>
    </row>
    <row r="241" spans="1:7" x14ac:dyDescent="0.2">
      <c r="A241" s="12" t="s">
        <v>319</v>
      </c>
      <c r="C241" s="12">
        <v>18099.784287214199</v>
      </c>
      <c r="D241" s="12">
        <v>8.9252960681915194</v>
      </c>
      <c r="E241" s="12">
        <v>18086.948734998699</v>
      </c>
      <c r="F241" s="12" t="s">
        <v>453</v>
      </c>
      <c r="G241" s="41" t="s">
        <v>454</v>
      </c>
    </row>
    <row r="242" spans="1:7" x14ac:dyDescent="0.2">
      <c r="A242" s="12" t="s">
        <v>320</v>
      </c>
      <c r="C242" s="12">
        <v>18104.943264961199</v>
      </c>
      <c r="D242" s="12">
        <v>8.9411509037017805</v>
      </c>
      <c r="E242" s="12">
        <v>18092.0837609767</v>
      </c>
      <c r="F242" s="12">
        <v>1195.9829035171399</v>
      </c>
      <c r="G242" s="41">
        <v>3.4502120542672099E-2</v>
      </c>
    </row>
    <row r="243" spans="1:7" x14ac:dyDescent="0.2">
      <c r="A243" s="12" t="s">
        <v>355</v>
      </c>
      <c r="C243" s="12">
        <v>18099.377171993201</v>
      </c>
      <c r="D243" s="12">
        <v>8.9736249446868896</v>
      </c>
      <c r="E243" s="12">
        <v>18086.460947990399</v>
      </c>
      <c r="F243" s="12">
        <v>1371.3379238303901</v>
      </c>
      <c r="G243" s="41">
        <v>7.0131233323028896E-2</v>
      </c>
    </row>
    <row r="244" spans="1:7" x14ac:dyDescent="0.2">
      <c r="A244" s="12" t="s">
        <v>356</v>
      </c>
      <c r="C244" s="12">
        <v>18120.424179077101</v>
      </c>
      <c r="D244" s="12">
        <v>8.9589979648589999</v>
      </c>
      <c r="E244" s="12">
        <v>18107.537627935399</v>
      </c>
      <c r="F244" s="12" t="s">
        <v>453</v>
      </c>
      <c r="G244" s="41" t="s">
        <v>454</v>
      </c>
    </row>
    <row r="245" spans="1:7" x14ac:dyDescent="0.2">
      <c r="A245" s="12" t="s">
        <v>357</v>
      </c>
      <c r="C245" s="12">
        <v>18108.9328780174</v>
      </c>
      <c r="D245" s="12">
        <v>8.92728590965271</v>
      </c>
      <c r="E245" s="12">
        <v>18096.077949047001</v>
      </c>
      <c r="F245" s="12">
        <v>1167.3647880262099</v>
      </c>
      <c r="G245" s="41">
        <v>1.2914234990302901E-2</v>
      </c>
    </row>
    <row r="246" spans="1:7" x14ac:dyDescent="0.2">
      <c r="A246" s="12" t="s">
        <v>358</v>
      </c>
      <c r="C246" s="12">
        <v>18111.511244058602</v>
      </c>
      <c r="D246" s="12">
        <v>8.9313559532165492</v>
      </c>
      <c r="E246" s="12">
        <v>18098.6405801773</v>
      </c>
      <c r="F246" s="12">
        <v>1310.0028630115501</v>
      </c>
      <c r="G246" s="41">
        <v>2.7189291193161502E-2</v>
      </c>
    </row>
    <row r="247" spans="1:7" x14ac:dyDescent="0.2">
      <c r="A247" s="12" t="s">
        <v>359</v>
      </c>
      <c r="C247" s="12">
        <v>18119.425948143002</v>
      </c>
      <c r="D247" s="12">
        <v>8.9178121089935303</v>
      </c>
      <c r="E247" s="12">
        <v>18106.588567018502</v>
      </c>
      <c r="F247" s="12">
        <v>1588.04735635319</v>
      </c>
      <c r="G247" s="41">
        <v>5.4242808012118698E-2</v>
      </c>
    </row>
    <row r="248" spans="1:7" x14ac:dyDescent="0.2">
      <c r="A248" s="12" t="s">
        <v>360</v>
      </c>
      <c r="C248" s="12">
        <v>18098.076364040298</v>
      </c>
      <c r="D248" s="12">
        <v>8.9086570739746094</v>
      </c>
      <c r="E248" s="12">
        <v>18085.254287004402</v>
      </c>
      <c r="F248" s="12" t="s">
        <v>453</v>
      </c>
      <c r="G248" s="41" t="s">
        <v>454</v>
      </c>
    </row>
    <row r="249" spans="1:7" x14ac:dyDescent="0.2">
      <c r="A249" s="12" t="s">
        <v>361</v>
      </c>
      <c r="C249" s="12">
        <v>18109.852485179901</v>
      </c>
      <c r="D249" s="12">
        <v>8.8196210861206001</v>
      </c>
      <c r="E249" s="12">
        <v>18097.100891113201</v>
      </c>
      <c r="F249" s="12">
        <v>1323.0356906822699</v>
      </c>
      <c r="G249" s="41">
        <v>9.6669975468466507E-2</v>
      </c>
    </row>
    <row r="250" spans="1:7" x14ac:dyDescent="0.2">
      <c r="A250" s="12" t="s">
        <v>362</v>
      </c>
      <c r="C250" s="12">
        <v>18117.777481079102</v>
      </c>
      <c r="D250" s="12">
        <v>8.6087410449981601</v>
      </c>
      <c r="E250" s="12">
        <v>18105.388602018302</v>
      </c>
      <c r="F250" s="12" t="s">
        <v>453</v>
      </c>
      <c r="G250" s="41" t="s">
        <v>454</v>
      </c>
    </row>
    <row r="251" spans="1:7" x14ac:dyDescent="0.2">
      <c r="A251" s="12" t="s">
        <v>363</v>
      </c>
      <c r="C251" s="12">
        <v>18094.144380092599</v>
      </c>
      <c r="D251" s="12">
        <v>8.6367189884185702</v>
      </c>
      <c r="E251" s="12">
        <v>18081.712102174701</v>
      </c>
      <c r="F251" s="12" t="s">
        <v>453</v>
      </c>
      <c r="G251" s="41" t="s">
        <v>454</v>
      </c>
    </row>
    <row r="252" spans="1:7" x14ac:dyDescent="0.2">
      <c r="A252" s="12" t="s">
        <v>364</v>
      </c>
      <c r="C252" s="12">
        <v>18086.172113895402</v>
      </c>
      <c r="D252" s="12">
        <v>8.5903398990631104</v>
      </c>
      <c r="E252" s="12">
        <v>18073.781940936999</v>
      </c>
      <c r="F252" s="12">
        <v>1262.8960730957201</v>
      </c>
      <c r="G252" s="41">
        <v>4.1273160477478497E-2</v>
      </c>
    </row>
    <row r="253" spans="1:7" x14ac:dyDescent="0.2">
      <c r="A253" s="12" t="s">
        <v>321</v>
      </c>
      <c r="C253" s="12">
        <v>18092.305726051301</v>
      </c>
      <c r="D253" s="12">
        <v>8.5599820613860995</v>
      </c>
      <c r="E253" s="12">
        <v>18079.955645084301</v>
      </c>
      <c r="F253" s="12">
        <v>1473.7883739779099</v>
      </c>
      <c r="G253" s="41">
        <v>1.2189215935132501E-2</v>
      </c>
    </row>
    <row r="254" spans="1:7" x14ac:dyDescent="0.2">
      <c r="A254" s="12" t="s">
        <v>322</v>
      </c>
      <c r="C254" s="12">
        <v>18092.276998042998</v>
      </c>
      <c r="D254" s="12">
        <v>8.6101040840148908</v>
      </c>
      <c r="E254" s="12">
        <v>18079.919180870002</v>
      </c>
      <c r="F254" s="12">
        <v>1449.3757605155999</v>
      </c>
      <c r="G254" s="41">
        <v>3.2976473075140497E-2</v>
      </c>
    </row>
    <row r="255" spans="1:7" x14ac:dyDescent="0.2">
      <c r="A255" s="12" t="s">
        <v>323</v>
      </c>
      <c r="C255" s="12">
        <v>18091.0948541164</v>
      </c>
      <c r="D255" s="12">
        <v>8.6252532005310005</v>
      </c>
      <c r="E255" s="12">
        <v>18078.716190099702</v>
      </c>
      <c r="F255" s="12">
        <v>1328.6790044652801</v>
      </c>
      <c r="G255" s="41">
        <v>1.9963333672751701E-2</v>
      </c>
    </row>
    <row r="256" spans="1:7" x14ac:dyDescent="0.2">
      <c r="A256" s="12" t="s">
        <v>365</v>
      </c>
      <c r="C256" s="12">
        <v>18095.413469076098</v>
      </c>
      <c r="D256" s="12">
        <v>8.6328558921813894</v>
      </c>
      <c r="E256" s="12">
        <v>18083.018872976299</v>
      </c>
      <c r="F256" s="12">
        <v>1654.60793880446</v>
      </c>
      <c r="G256" s="41">
        <v>3.75697361148397E-2</v>
      </c>
    </row>
    <row r="257" spans="1:7" x14ac:dyDescent="0.2">
      <c r="A257" s="12" t="s">
        <v>324</v>
      </c>
      <c r="C257" s="12">
        <v>18095.389275074001</v>
      </c>
      <c r="D257" s="12">
        <v>8.63338303565979</v>
      </c>
      <c r="E257" s="12">
        <v>18082.9432249069</v>
      </c>
      <c r="F257" s="12">
        <v>1202.17170403562</v>
      </c>
      <c r="G257" s="41">
        <v>1.9413808631269298E-2</v>
      </c>
    </row>
    <row r="258" spans="1:7" x14ac:dyDescent="0.2">
      <c r="A258" s="12" t="s">
        <v>325</v>
      </c>
      <c r="C258" s="12">
        <v>18087.241541147199</v>
      </c>
      <c r="D258" s="12">
        <v>8.5957741737365705</v>
      </c>
      <c r="E258" s="12">
        <v>18074.874634027401</v>
      </c>
      <c r="F258" s="12">
        <v>1363.87665492579</v>
      </c>
      <c r="G258" s="41">
        <v>3.5677120992587803E-2</v>
      </c>
    </row>
    <row r="259" spans="1:7" x14ac:dyDescent="0.2">
      <c r="A259" s="12" t="s">
        <v>326</v>
      </c>
      <c r="C259" s="12">
        <v>18095.517929077101</v>
      </c>
      <c r="D259" s="12">
        <v>8.63464307785034</v>
      </c>
      <c r="E259" s="12">
        <v>18083.119947910302</v>
      </c>
      <c r="F259" s="12">
        <v>1375.1639897571499</v>
      </c>
      <c r="G259" s="41">
        <v>1.5233130902643799E-2</v>
      </c>
    </row>
    <row r="260" spans="1:7" x14ac:dyDescent="0.2">
      <c r="A260" s="12" t="s">
        <v>327</v>
      </c>
      <c r="C260" s="12">
        <v>18098.825484991001</v>
      </c>
      <c r="D260" s="12">
        <v>8.6257948875427193</v>
      </c>
      <c r="E260" s="12">
        <v>18086.4184029102</v>
      </c>
      <c r="F260" s="12">
        <v>1200.3725917879001</v>
      </c>
      <c r="G260" s="41">
        <v>1.7955361171823701E-2</v>
      </c>
    </row>
    <row r="261" spans="1:7" x14ac:dyDescent="0.2">
      <c r="A261" s="12" t="s">
        <v>328</v>
      </c>
      <c r="C261" s="12">
        <v>18102.005234003002</v>
      </c>
      <c r="D261" s="12">
        <v>8.6011059284210205</v>
      </c>
      <c r="E261" s="12">
        <v>18089.615990161801</v>
      </c>
      <c r="F261" s="12">
        <v>1327.9327482439701</v>
      </c>
      <c r="G261" s="41">
        <v>1.3425176844279201E-2</v>
      </c>
    </row>
    <row r="262" spans="1:7" x14ac:dyDescent="0.2">
      <c r="A262" s="12" t="s">
        <v>329</v>
      </c>
      <c r="C262" s="12">
        <v>18089.391759157101</v>
      </c>
      <c r="D262" s="12">
        <v>8.6569731235504097</v>
      </c>
      <c r="E262" s="12">
        <v>18076.9434731006</v>
      </c>
      <c r="F262" s="12">
        <v>1569.7923470401199</v>
      </c>
      <c r="G262" s="41">
        <v>3.3688201363574401E-2</v>
      </c>
    </row>
    <row r="263" spans="1:7" x14ac:dyDescent="0.2">
      <c r="A263" s="12" t="s">
        <v>330</v>
      </c>
      <c r="C263" s="12">
        <v>18105.9036190509</v>
      </c>
      <c r="D263" s="12">
        <v>8.6044878959655708</v>
      </c>
      <c r="E263" s="12">
        <v>18093.559381961801</v>
      </c>
      <c r="F263" s="12">
        <v>1191.23652763938</v>
      </c>
      <c r="G263" s="41">
        <v>1.8031745999666799E-2</v>
      </c>
    </row>
    <row r="264" spans="1:7" x14ac:dyDescent="0.2">
      <c r="A264" s="12" t="s">
        <v>366</v>
      </c>
      <c r="C264" s="12">
        <v>18100.409657001401</v>
      </c>
      <c r="D264" s="12">
        <v>8.6023421287536603</v>
      </c>
      <c r="E264" s="12">
        <v>18088.055467128699</v>
      </c>
      <c r="F264" s="12">
        <v>1350.3754898903401</v>
      </c>
      <c r="G264" s="41">
        <v>8.4118892812746499E-3</v>
      </c>
    </row>
    <row r="265" spans="1:7" x14ac:dyDescent="0.2">
      <c r="A265" s="12" t="s">
        <v>331</v>
      </c>
      <c r="C265" s="12">
        <v>18101.457800865101</v>
      </c>
      <c r="D265" s="12">
        <v>8.6205279827117902</v>
      </c>
      <c r="E265" s="12">
        <v>18089.013921975999</v>
      </c>
      <c r="F265" s="12">
        <v>1548.0436398243401</v>
      </c>
      <c r="G265" s="41">
        <v>2.0504026640812401E-2</v>
      </c>
    </row>
    <row r="266" spans="1:7" x14ac:dyDescent="0.2">
      <c r="A266" s="12" t="s">
        <v>367</v>
      </c>
      <c r="C266" s="12">
        <v>18098.085041046099</v>
      </c>
      <c r="D266" s="12">
        <v>8.6577730178833008</v>
      </c>
      <c r="E266" s="12">
        <v>18085.673322200699</v>
      </c>
      <c r="F266" s="12">
        <v>1258.26409567717</v>
      </c>
      <c r="G266" s="41">
        <v>1.9417949147774401E-2</v>
      </c>
    </row>
    <row r="267" spans="1:7" x14ac:dyDescent="0.2">
      <c r="A267" s="12" t="s">
        <v>332</v>
      </c>
      <c r="C267" s="12">
        <v>18095.593381881699</v>
      </c>
      <c r="D267" s="12">
        <v>8.6379268169403005</v>
      </c>
      <c r="E267" s="12">
        <v>18083.125968933098</v>
      </c>
      <c r="F267" s="12">
        <v>1314.16435935392</v>
      </c>
      <c r="G267" s="41">
        <v>1.0140060618581999E-2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128E-E56E-134F-9DBE-526E07C15B7D}">
  <dimension ref="A1:W400"/>
  <sheetViews>
    <sheetView zoomScaleNormal="120" workbookViewId="0">
      <pane ySplit="1" topLeftCell="A23" activePane="bottomLeft" state="frozen"/>
      <selection pane="bottomLeft" activeCell="M207" sqref="M207"/>
    </sheetView>
  </sheetViews>
  <sheetFormatPr baseColWidth="10" defaultRowHeight="16" x14ac:dyDescent="0.2"/>
  <cols>
    <col min="1" max="1" width="10.6640625" bestFit="1" customWidth="1"/>
    <col min="2" max="2" width="9.83203125" bestFit="1" customWidth="1"/>
    <col min="3" max="5" width="9.83203125" customWidth="1"/>
    <col min="14" max="14" width="11" customWidth="1"/>
  </cols>
  <sheetData>
    <row r="1" spans="1:23" x14ac:dyDescent="0.2">
      <c r="A1" t="s">
        <v>372</v>
      </c>
      <c r="C1" t="s">
        <v>465</v>
      </c>
      <c r="D1" t="s">
        <v>466</v>
      </c>
      <c r="E1" t="s">
        <v>467</v>
      </c>
      <c r="F1" t="s">
        <v>383</v>
      </c>
      <c r="G1" t="s">
        <v>384</v>
      </c>
      <c r="H1" t="s">
        <v>390</v>
      </c>
      <c r="I1" t="s">
        <v>385</v>
      </c>
      <c r="J1" s="39" t="s">
        <v>386</v>
      </c>
      <c r="K1" s="39" t="s">
        <v>468</v>
      </c>
      <c r="M1" t="s">
        <v>387</v>
      </c>
      <c r="N1" t="s">
        <v>388</v>
      </c>
      <c r="O1" t="s">
        <v>389</v>
      </c>
      <c r="P1" t="s">
        <v>391</v>
      </c>
      <c r="Q1" t="s">
        <v>392</v>
      </c>
      <c r="R1" t="s">
        <v>34</v>
      </c>
      <c r="S1" t="s">
        <v>385</v>
      </c>
      <c r="U1" t="s">
        <v>468</v>
      </c>
      <c r="W1" t="s">
        <v>471</v>
      </c>
    </row>
    <row r="2" spans="1:23" x14ac:dyDescent="0.2">
      <c r="A2" s="12" t="s">
        <v>44</v>
      </c>
      <c r="B2" s="12"/>
      <c r="C2" s="11">
        <v>4</v>
      </c>
      <c r="D2" s="11">
        <v>2</v>
      </c>
      <c r="E2" s="11">
        <v>4</v>
      </c>
      <c r="F2" s="11">
        <v>13.0160191059112</v>
      </c>
      <c r="G2" s="11">
        <v>8.6189160346984792</v>
      </c>
      <c r="H2" s="11">
        <v>0.86573481559753396</v>
      </c>
      <c r="I2" s="11">
        <v>444.27821355770499</v>
      </c>
      <c r="K2" t="s">
        <v>469</v>
      </c>
      <c r="M2" s="11">
        <v>16.1380839347839</v>
      </c>
      <c r="N2" s="11">
        <v>5.5169594649999896</v>
      </c>
      <c r="O2" s="11">
        <v>10.621124469783901</v>
      </c>
      <c r="P2" s="11">
        <v>11.237011798999999</v>
      </c>
      <c r="Q2" s="11">
        <v>3.500993024</v>
      </c>
      <c r="R2" s="11">
        <v>1.2993259E-2</v>
      </c>
      <c r="S2" s="11">
        <v>444.27821355770499</v>
      </c>
      <c r="T2" s="11" t="s">
        <v>333</v>
      </c>
      <c r="U2" t="s">
        <v>469</v>
      </c>
      <c r="V2" s="11"/>
      <c r="W2" s="11">
        <v>540.94087453013196</v>
      </c>
    </row>
    <row r="3" spans="1:23" x14ac:dyDescent="0.2">
      <c r="A3" s="12" t="s">
        <v>47</v>
      </c>
      <c r="B3" s="12"/>
      <c r="C3" s="12">
        <v>4</v>
      </c>
      <c r="D3" s="12">
        <v>2</v>
      </c>
      <c r="E3" s="12">
        <v>5</v>
      </c>
      <c r="F3" s="12">
        <v>12.4817550182342</v>
      </c>
      <c r="G3" s="12">
        <v>8.5759911537170392</v>
      </c>
      <c r="H3" s="12">
        <v>0.33565688133239702</v>
      </c>
      <c r="I3" s="12">
        <v>381.38661991924999</v>
      </c>
      <c r="K3" t="s">
        <v>469</v>
      </c>
      <c r="M3" s="12">
        <v>22.964583873748701</v>
      </c>
      <c r="N3" s="12">
        <v>5.9296672370000003</v>
      </c>
      <c r="O3" s="12">
        <v>17.034916636748701</v>
      </c>
      <c r="P3" s="12">
        <v>12.067579588999999</v>
      </c>
      <c r="Q3" s="12">
        <v>2.6153638830000001</v>
      </c>
      <c r="R3" s="12">
        <v>6.7874529959999998</v>
      </c>
      <c r="S3" s="12">
        <v>381.38661991924999</v>
      </c>
      <c r="T3" s="12" t="s">
        <v>333</v>
      </c>
      <c r="U3" t="s">
        <v>469</v>
      </c>
      <c r="V3" s="12"/>
      <c r="W3" s="12">
        <v>420.57864736899899</v>
      </c>
    </row>
    <row r="4" spans="1:23" x14ac:dyDescent="0.2">
      <c r="A4" s="12" t="s">
        <v>50</v>
      </c>
      <c r="B4" s="12"/>
      <c r="C4" s="12">
        <v>4</v>
      </c>
      <c r="D4" s="12">
        <v>2</v>
      </c>
      <c r="E4" s="12">
        <v>4</v>
      </c>
      <c r="F4" s="12">
        <v>12.913294792175201</v>
      </c>
      <c r="G4" s="12">
        <v>8.5958008766174299</v>
      </c>
      <c r="H4" s="12">
        <v>0.74047803878784102</v>
      </c>
      <c r="I4" s="12">
        <v>414.09153328182401</v>
      </c>
      <c r="K4" t="s">
        <v>469</v>
      </c>
      <c r="M4" s="12">
        <v>23.5795671939849</v>
      </c>
      <c r="N4" s="12">
        <v>5.8277181770000004</v>
      </c>
      <c r="O4" s="12">
        <v>17.751849016984899</v>
      </c>
      <c r="P4" s="12">
        <v>11.879835013999999</v>
      </c>
      <c r="Q4" s="12">
        <v>2.7593446070000001</v>
      </c>
      <c r="R4" s="12">
        <v>7.467914457</v>
      </c>
      <c r="S4" s="12">
        <v>415.03958516696702</v>
      </c>
      <c r="T4" s="12" t="s">
        <v>333</v>
      </c>
      <c r="U4" t="s">
        <v>469</v>
      </c>
      <c r="V4" s="12"/>
      <c r="W4" s="12">
        <v>515.20128744289798</v>
      </c>
    </row>
    <row r="5" spans="1:23" x14ac:dyDescent="0.2">
      <c r="A5" s="12" t="s">
        <v>53</v>
      </c>
      <c r="B5" s="12"/>
      <c r="C5" s="12">
        <v>4</v>
      </c>
      <c r="D5" s="12">
        <v>2</v>
      </c>
      <c r="E5" s="12">
        <v>4</v>
      </c>
      <c r="F5" s="12">
        <v>12.622431039810101</v>
      </c>
      <c r="G5" s="12">
        <v>8.5282969474792392</v>
      </c>
      <c r="H5" s="12">
        <v>0.50883817672729403</v>
      </c>
      <c r="I5" s="12">
        <v>434.61897856392102</v>
      </c>
      <c r="K5" t="s">
        <v>469</v>
      </c>
      <c r="M5" s="12">
        <v>21.521380901336599</v>
      </c>
      <c r="N5" s="12">
        <v>5.7766803439999999</v>
      </c>
      <c r="O5" s="12">
        <v>15.7447005573366</v>
      </c>
      <c r="P5" s="12">
        <v>11.698175788</v>
      </c>
      <c r="Q5" s="12">
        <v>2.6945238310000001</v>
      </c>
      <c r="R5" s="12">
        <v>5.6679399830000001</v>
      </c>
      <c r="S5" s="12">
        <v>434.61897856392102</v>
      </c>
      <c r="T5" s="12" t="s">
        <v>333</v>
      </c>
      <c r="U5" t="s">
        <v>469</v>
      </c>
      <c r="V5" s="12"/>
      <c r="W5" s="12">
        <v>482.82981718572597</v>
      </c>
    </row>
    <row r="6" spans="1:23" x14ac:dyDescent="0.2">
      <c r="A6" s="12" t="s">
        <v>58</v>
      </c>
      <c r="B6" s="12"/>
      <c r="C6" s="12">
        <v>4</v>
      </c>
      <c r="D6" s="12">
        <v>2</v>
      </c>
      <c r="E6" s="12">
        <v>4</v>
      </c>
      <c r="F6" s="12">
        <v>13.0588979721069</v>
      </c>
      <c r="G6" s="12">
        <v>8.5861070156097394</v>
      </c>
      <c r="H6" s="12">
        <v>0.85988688468933105</v>
      </c>
      <c r="I6" s="12">
        <v>395.878125988813</v>
      </c>
      <c r="K6" t="s">
        <v>469</v>
      </c>
      <c r="M6" s="12">
        <v>21.8323941230773</v>
      </c>
      <c r="N6" s="12">
        <v>5.6791849010000002</v>
      </c>
      <c r="O6" s="12">
        <v>16.153209222077301</v>
      </c>
      <c r="P6" s="12">
        <v>11.424943293</v>
      </c>
      <c r="Q6" s="12">
        <v>2.5989482169999998</v>
      </c>
      <c r="R6" s="12">
        <v>6.4129863770000002</v>
      </c>
      <c r="S6" s="12">
        <v>395.878125988813</v>
      </c>
      <c r="T6" s="12" t="s">
        <v>333</v>
      </c>
      <c r="U6" t="s">
        <v>469</v>
      </c>
      <c r="V6" s="12"/>
      <c r="W6" s="12">
        <v>465.69866459750602</v>
      </c>
    </row>
    <row r="7" spans="1:23" x14ac:dyDescent="0.2">
      <c r="A7" s="12" t="s">
        <v>61</v>
      </c>
      <c r="B7" s="12"/>
      <c r="C7" s="12">
        <v>4</v>
      </c>
      <c r="D7" s="12">
        <v>2</v>
      </c>
      <c r="E7" s="12">
        <v>4</v>
      </c>
      <c r="F7" s="12">
        <v>14.330908060073799</v>
      </c>
      <c r="G7" s="12">
        <v>8.7954330444335902</v>
      </c>
      <c r="H7" s="12">
        <v>1.9732129573821999</v>
      </c>
      <c r="I7" s="12">
        <v>448.96694351596699</v>
      </c>
      <c r="K7" t="s">
        <v>469</v>
      </c>
      <c r="M7" s="12">
        <v>16.369261980056699</v>
      </c>
      <c r="N7" s="12">
        <v>5.7031970760000004</v>
      </c>
      <c r="O7" s="12">
        <v>10.6660649040567</v>
      </c>
      <c r="P7" s="12">
        <v>11.414563773999999</v>
      </c>
      <c r="Q7" s="12">
        <v>3.5517876639999999</v>
      </c>
      <c r="R7" s="12">
        <v>1.1970951000000001E-2</v>
      </c>
      <c r="S7" s="12">
        <v>448.96694351596699</v>
      </c>
      <c r="T7" s="12" t="s">
        <v>333</v>
      </c>
      <c r="U7" t="s">
        <v>469</v>
      </c>
      <c r="V7" s="12"/>
      <c r="W7" s="12">
        <v>531.66743870222399</v>
      </c>
    </row>
    <row r="8" spans="1:23" x14ac:dyDescent="0.2">
      <c r="A8" s="12" t="s">
        <v>64</v>
      </c>
      <c r="B8" s="12"/>
      <c r="C8" s="12">
        <v>4</v>
      </c>
      <c r="D8" s="12">
        <v>2</v>
      </c>
      <c r="E8" s="12">
        <v>4</v>
      </c>
      <c r="F8" s="12">
        <v>12.430963993072501</v>
      </c>
      <c r="G8" s="12">
        <v>8.64556884765625</v>
      </c>
      <c r="H8" s="12">
        <v>0.20126914978027299</v>
      </c>
      <c r="I8" s="12">
        <v>352.02200517602802</v>
      </c>
      <c r="K8" t="s">
        <v>469</v>
      </c>
      <c r="M8" s="12">
        <v>16.020410060882501</v>
      </c>
      <c r="N8" s="12">
        <v>5.6637146749999996</v>
      </c>
      <c r="O8" s="12">
        <v>10.356695385882499</v>
      </c>
      <c r="P8" s="12">
        <v>11.354134937</v>
      </c>
      <c r="Q8" s="12">
        <v>3.4430739429999999</v>
      </c>
      <c r="R8" s="12">
        <v>0</v>
      </c>
      <c r="S8" s="12">
        <v>352.02200517602699</v>
      </c>
      <c r="T8" s="12" t="s">
        <v>333</v>
      </c>
      <c r="U8" t="s">
        <v>469</v>
      </c>
      <c r="V8" s="12"/>
      <c r="W8" s="12">
        <v>385.91155024162498</v>
      </c>
    </row>
    <row r="9" spans="1:23" x14ac:dyDescent="0.2">
      <c r="A9" s="12" t="s">
        <v>67</v>
      </c>
      <c r="B9" s="12"/>
      <c r="C9" s="12">
        <v>4</v>
      </c>
      <c r="D9" s="12">
        <v>2</v>
      </c>
      <c r="E9" s="12">
        <v>4</v>
      </c>
      <c r="F9" s="12">
        <v>13.2952439785003</v>
      </c>
      <c r="G9" s="12">
        <v>8.5163700580596906</v>
      </c>
      <c r="H9" s="12">
        <v>1.2893419265746999</v>
      </c>
      <c r="I9" s="12">
        <v>428.753736186151</v>
      </c>
      <c r="K9" t="s">
        <v>469</v>
      </c>
      <c r="M9" s="12">
        <v>20.832799911498999</v>
      </c>
      <c r="N9" s="12">
        <v>5.6072698289999998</v>
      </c>
      <c r="O9" s="12">
        <v>15.225530082499001</v>
      </c>
      <c r="P9" s="12">
        <v>11.338193837</v>
      </c>
      <c r="Q9" s="12">
        <v>3.5551166869999902</v>
      </c>
      <c r="R9" s="12">
        <v>4.5500154789999998</v>
      </c>
      <c r="S9" s="12">
        <v>428.753736186151</v>
      </c>
      <c r="T9" s="12" t="s">
        <v>333</v>
      </c>
      <c r="U9" t="s">
        <v>469</v>
      </c>
      <c r="V9" s="12"/>
      <c r="W9" s="12">
        <v>547.07873709716296</v>
      </c>
    </row>
    <row r="10" spans="1:23" x14ac:dyDescent="0.2">
      <c r="A10" s="12" t="s">
        <v>70</v>
      </c>
      <c r="B10" s="12"/>
      <c r="C10" s="12">
        <v>4</v>
      </c>
      <c r="D10" s="12">
        <v>2</v>
      </c>
      <c r="E10" s="12">
        <v>4</v>
      </c>
      <c r="F10" s="12">
        <v>13.4694919586181</v>
      </c>
      <c r="G10" s="12">
        <v>9.2709939479827792</v>
      </c>
      <c r="H10" s="12">
        <v>0.45234084129333402</v>
      </c>
      <c r="I10" s="12">
        <v>413.73207898380798</v>
      </c>
      <c r="K10" t="s">
        <v>469</v>
      </c>
      <c r="M10" s="12">
        <v>21.2574028968811</v>
      </c>
      <c r="N10" s="12">
        <v>5.5873753519999996</v>
      </c>
      <c r="O10" s="12">
        <v>15.6700275448811</v>
      </c>
      <c r="P10" s="12">
        <v>11.294853244</v>
      </c>
      <c r="Q10" s="12">
        <v>2.6361789139999998</v>
      </c>
      <c r="R10" s="12">
        <v>5.9398891120000004</v>
      </c>
      <c r="S10" s="12">
        <v>413.73207898380798</v>
      </c>
      <c r="T10" s="12" t="s">
        <v>333</v>
      </c>
      <c r="U10" t="s">
        <v>469</v>
      </c>
      <c r="V10" s="12"/>
      <c r="W10" s="12">
        <v>452.23549452752701</v>
      </c>
    </row>
    <row r="11" spans="1:23" x14ac:dyDescent="0.2">
      <c r="A11" s="12" t="s">
        <v>73</v>
      </c>
      <c r="B11" s="12"/>
      <c r="C11" s="12">
        <v>4</v>
      </c>
      <c r="D11" s="12">
        <v>2</v>
      </c>
      <c r="E11" s="12">
        <v>3</v>
      </c>
      <c r="F11" s="12">
        <v>13.8537380695343</v>
      </c>
      <c r="G11" s="12">
        <v>9.2911880016326904</v>
      </c>
      <c r="H11" s="12">
        <v>0.80707597732543901</v>
      </c>
      <c r="I11" s="12">
        <v>383.974715845079</v>
      </c>
      <c r="K11" t="s">
        <v>469</v>
      </c>
      <c r="M11" s="12">
        <v>16.336153030395501</v>
      </c>
      <c r="N11" s="12">
        <v>5.6303334199999897</v>
      </c>
      <c r="O11" s="12">
        <v>10.705819610395499</v>
      </c>
      <c r="P11" s="12">
        <v>11.319307246999999</v>
      </c>
      <c r="Q11" s="12">
        <v>3.5459147999999998</v>
      </c>
      <c r="R11" s="12">
        <v>1.1950089000000001E-2</v>
      </c>
      <c r="S11" s="12">
        <v>383.974715845079</v>
      </c>
      <c r="T11" s="12" t="s">
        <v>333</v>
      </c>
      <c r="U11" t="s">
        <v>469</v>
      </c>
      <c r="V11" s="12"/>
      <c r="W11" s="12">
        <v>445.11162021622698</v>
      </c>
    </row>
    <row r="12" spans="1:23" x14ac:dyDescent="0.2">
      <c r="A12" s="12" t="s">
        <v>76</v>
      </c>
      <c r="B12" s="12"/>
      <c r="C12" s="12">
        <v>4</v>
      </c>
      <c r="D12" s="12">
        <v>2</v>
      </c>
      <c r="E12" s="12">
        <v>4</v>
      </c>
      <c r="F12" s="12">
        <v>14.749765872955299</v>
      </c>
      <c r="G12" s="12">
        <v>9.2723219394683802</v>
      </c>
      <c r="H12" s="12">
        <v>1.71042799949646</v>
      </c>
      <c r="I12" s="12">
        <v>422.87009412877802</v>
      </c>
      <c r="K12" t="s">
        <v>469</v>
      </c>
      <c r="M12" s="12">
        <v>21.8082449436187</v>
      </c>
      <c r="N12" s="12">
        <v>5.6106092479999896</v>
      </c>
      <c r="O12" s="12">
        <v>16.1976356956187</v>
      </c>
      <c r="P12" s="12">
        <v>11.236390107</v>
      </c>
      <c r="Q12" s="12">
        <v>2.64715838</v>
      </c>
      <c r="R12" s="12">
        <v>6.4758033529999999</v>
      </c>
      <c r="S12" s="12">
        <v>422.87009412877802</v>
      </c>
      <c r="T12" s="12" t="s">
        <v>333</v>
      </c>
      <c r="U12" t="s">
        <v>469</v>
      </c>
      <c r="V12" s="12"/>
      <c r="W12" s="12">
        <v>486.98960730632899</v>
      </c>
    </row>
    <row r="13" spans="1:23" x14ac:dyDescent="0.2">
      <c r="A13" s="12" t="s">
        <v>79</v>
      </c>
      <c r="B13" s="12"/>
      <c r="C13" s="12">
        <v>4</v>
      </c>
      <c r="D13" s="12">
        <v>2</v>
      </c>
      <c r="E13" s="12">
        <v>4</v>
      </c>
      <c r="F13" s="12">
        <v>14.1165120601654</v>
      </c>
      <c r="G13" s="12">
        <v>9.2425060272216797</v>
      </c>
      <c r="H13" s="12">
        <v>1.1278820037841699</v>
      </c>
      <c r="I13" s="12">
        <v>344.907195589867</v>
      </c>
      <c r="K13" t="s">
        <v>469</v>
      </c>
      <c r="M13" s="12">
        <v>29.545143127441399</v>
      </c>
      <c r="N13" s="12">
        <v>14.369547284999999</v>
      </c>
      <c r="O13" s="12">
        <v>15.1755958424414</v>
      </c>
      <c r="P13" s="12">
        <v>20.042853823000002</v>
      </c>
      <c r="Q13" s="12">
        <v>2.56507108699999</v>
      </c>
      <c r="R13" s="12">
        <v>5.5564966809999996</v>
      </c>
      <c r="S13" s="12">
        <v>344.907195589867</v>
      </c>
      <c r="T13" s="12" t="s">
        <v>333</v>
      </c>
      <c r="U13" t="s">
        <v>469</v>
      </c>
      <c r="V13" s="12"/>
      <c r="W13" s="12">
        <v>378.54554594516401</v>
      </c>
    </row>
    <row r="14" spans="1:23" x14ac:dyDescent="0.2">
      <c r="A14" s="12" t="s">
        <v>82</v>
      </c>
      <c r="B14" s="12"/>
      <c r="C14" s="12">
        <v>4</v>
      </c>
      <c r="D14" s="12">
        <v>2</v>
      </c>
      <c r="E14" s="12">
        <v>4</v>
      </c>
      <c r="F14" s="12">
        <v>14.591924905776899</v>
      </c>
      <c r="G14" s="12">
        <v>9.2091469764709402</v>
      </c>
      <c r="H14" s="12">
        <v>1.6231222152709901</v>
      </c>
      <c r="I14" s="12">
        <v>404.62637067668101</v>
      </c>
      <c r="K14" t="s">
        <v>469</v>
      </c>
      <c r="M14" s="12">
        <v>16.4550330638885</v>
      </c>
      <c r="N14" s="12">
        <v>5.5148528799999896</v>
      </c>
      <c r="O14" s="12">
        <v>10.940180183888501</v>
      </c>
      <c r="P14" s="12">
        <v>11.229667071</v>
      </c>
      <c r="Q14" s="12">
        <v>4.0056538440000002</v>
      </c>
      <c r="R14" s="12">
        <v>0</v>
      </c>
      <c r="S14" s="12">
        <v>404.62637067668101</v>
      </c>
      <c r="T14" s="12" t="s">
        <v>333</v>
      </c>
      <c r="U14" t="s">
        <v>469</v>
      </c>
      <c r="V14" s="12"/>
      <c r="W14" s="12">
        <v>505.50315803009198</v>
      </c>
    </row>
    <row r="15" spans="1:23" x14ac:dyDescent="0.2">
      <c r="A15" s="12" t="s">
        <v>85</v>
      </c>
      <c r="B15" s="12"/>
      <c r="C15" s="12">
        <v>4</v>
      </c>
      <c r="D15" s="12">
        <v>2</v>
      </c>
      <c r="E15" s="12">
        <v>4</v>
      </c>
      <c r="F15" s="12">
        <v>15.1376090049743</v>
      </c>
      <c r="G15" s="12">
        <v>9.3029630184173495</v>
      </c>
      <c r="H15" s="12">
        <v>2.0790171623229901</v>
      </c>
      <c r="I15" s="12">
        <v>414.79805324134702</v>
      </c>
      <c r="K15" t="s">
        <v>469</v>
      </c>
      <c r="M15" s="12">
        <v>26.3738238811492</v>
      </c>
      <c r="N15" s="12">
        <v>6.523349531</v>
      </c>
      <c r="O15" s="12">
        <v>19.850474350149199</v>
      </c>
      <c r="P15" s="12">
        <v>13.124626511000001</v>
      </c>
      <c r="Q15" s="12">
        <v>3.1798653730000002</v>
      </c>
      <c r="R15" s="12">
        <v>8.431505134</v>
      </c>
      <c r="S15" s="12">
        <v>414.79805324134702</v>
      </c>
      <c r="T15" s="12" t="s">
        <v>333</v>
      </c>
      <c r="U15" t="s">
        <v>469</v>
      </c>
      <c r="V15" s="12"/>
      <c r="W15" s="12">
        <v>451.10917375661199</v>
      </c>
    </row>
    <row r="16" spans="1:23" x14ac:dyDescent="0.2">
      <c r="A16" s="12" t="s">
        <v>88</v>
      </c>
      <c r="B16" s="12"/>
      <c r="C16" s="12">
        <v>4</v>
      </c>
      <c r="D16" s="12">
        <v>2</v>
      </c>
      <c r="E16" s="12">
        <v>3</v>
      </c>
      <c r="F16" s="12">
        <v>18.768115043640101</v>
      </c>
      <c r="G16" s="12">
        <v>8.7521200180053693</v>
      </c>
      <c r="H16" s="12">
        <v>6.4538121223449698</v>
      </c>
      <c r="I16" s="12">
        <v>362.17880575783101</v>
      </c>
      <c r="K16" t="s">
        <v>469</v>
      </c>
      <c r="M16" s="12">
        <v>23.587970018386802</v>
      </c>
      <c r="N16" s="12">
        <v>5.8056897969999897</v>
      </c>
      <c r="O16" s="12">
        <v>17.782280221386799</v>
      </c>
      <c r="P16" s="12">
        <v>11.856911824999999</v>
      </c>
      <c r="Q16" s="12">
        <v>4.4292501870000001</v>
      </c>
      <c r="R16" s="12">
        <v>5.8314736009999999</v>
      </c>
      <c r="S16" s="12">
        <v>362.17880575783101</v>
      </c>
      <c r="T16" s="12" t="s">
        <v>333</v>
      </c>
      <c r="U16" t="s">
        <v>469</v>
      </c>
      <c r="V16" s="12"/>
      <c r="W16" s="12">
        <v>416.92438931579198</v>
      </c>
    </row>
    <row r="17" spans="1:23" x14ac:dyDescent="0.2">
      <c r="A17" s="12" t="s">
        <v>91</v>
      </c>
      <c r="B17" s="12"/>
      <c r="C17" s="12">
        <v>4</v>
      </c>
      <c r="D17" s="12">
        <v>2</v>
      </c>
      <c r="E17" s="12">
        <v>4</v>
      </c>
      <c r="F17" s="12">
        <v>13.5269019603729</v>
      </c>
      <c r="G17" s="12">
        <v>9.1228721141815097</v>
      </c>
      <c r="H17" s="12">
        <v>0.66982007026672297</v>
      </c>
      <c r="I17" s="12">
        <v>432.43329039236801</v>
      </c>
      <c r="K17" t="s">
        <v>469</v>
      </c>
      <c r="M17" s="12">
        <v>22.459892988204899</v>
      </c>
      <c r="N17" s="12">
        <v>5.925948225</v>
      </c>
      <c r="O17" s="12">
        <v>16.5339447632049</v>
      </c>
      <c r="P17" s="12">
        <v>11.853949454</v>
      </c>
      <c r="Q17" s="12">
        <v>2.6499015880000001</v>
      </c>
      <c r="R17" s="12">
        <v>6.5039207770000003</v>
      </c>
      <c r="S17" s="12">
        <v>432.43329039236801</v>
      </c>
      <c r="T17" s="12" t="s">
        <v>333</v>
      </c>
      <c r="U17" t="s">
        <v>469</v>
      </c>
      <c r="V17" s="12"/>
      <c r="W17" s="12">
        <v>503.31026021060001</v>
      </c>
    </row>
    <row r="18" spans="1:23" x14ac:dyDescent="0.2">
      <c r="A18" s="12" t="s">
        <v>94</v>
      </c>
      <c r="B18" s="12"/>
      <c r="C18" s="12">
        <v>4</v>
      </c>
      <c r="D18" s="12">
        <v>2</v>
      </c>
      <c r="E18" s="12">
        <v>3</v>
      </c>
      <c r="F18" s="12">
        <v>13.1099660396575</v>
      </c>
      <c r="G18" s="12">
        <v>9.1660251617431605</v>
      </c>
      <c r="H18" s="12">
        <v>0.21406316757202101</v>
      </c>
      <c r="I18" s="12">
        <v>346.11204055300198</v>
      </c>
      <c r="K18" t="s">
        <v>469</v>
      </c>
      <c r="M18" s="12">
        <v>16.0696489810943</v>
      </c>
      <c r="N18" s="12">
        <v>5.7368162529999998</v>
      </c>
      <c r="O18" s="12">
        <v>10.332832728094299</v>
      </c>
      <c r="P18" s="12">
        <v>11.434289465999999</v>
      </c>
      <c r="Q18" s="12">
        <v>3.4147483009999999</v>
      </c>
      <c r="R18" s="12">
        <v>0</v>
      </c>
      <c r="S18" s="12">
        <v>346.11204055300198</v>
      </c>
      <c r="T18" s="12" t="s">
        <v>333</v>
      </c>
      <c r="U18" t="s">
        <v>469</v>
      </c>
      <c r="V18" s="12"/>
      <c r="W18" s="12">
        <v>380.611075039524</v>
      </c>
    </row>
    <row r="19" spans="1:23" x14ac:dyDescent="0.2">
      <c r="A19" s="12" t="s">
        <v>97</v>
      </c>
      <c r="B19" s="12"/>
      <c r="C19" s="12">
        <v>4</v>
      </c>
      <c r="D19" s="12">
        <v>2</v>
      </c>
      <c r="E19" s="12">
        <v>3</v>
      </c>
      <c r="F19" s="12">
        <v>13.286791086196899</v>
      </c>
      <c r="G19" s="12">
        <v>9.1819338798522896</v>
      </c>
      <c r="H19" s="12">
        <v>0.34994697570800698</v>
      </c>
      <c r="I19" s="12">
        <v>409.58401854260899</v>
      </c>
      <c r="K19" t="s">
        <v>469</v>
      </c>
      <c r="M19" s="12">
        <v>21.451705932617099</v>
      </c>
      <c r="N19" s="12">
        <v>5.5382767599999996</v>
      </c>
      <c r="O19" s="12">
        <v>15.9134291726171</v>
      </c>
      <c r="P19" s="12">
        <v>11.259153383999999</v>
      </c>
      <c r="Q19" s="12">
        <v>3.627394872</v>
      </c>
      <c r="R19" s="12">
        <v>5.1750444069999997</v>
      </c>
      <c r="S19" s="12">
        <v>409.58401854260802</v>
      </c>
      <c r="T19" s="12" t="s">
        <v>333</v>
      </c>
      <c r="U19" t="s">
        <v>469</v>
      </c>
      <c r="V19" s="12"/>
      <c r="W19" s="12">
        <v>495.75692711546299</v>
      </c>
    </row>
    <row r="20" spans="1:23" x14ac:dyDescent="0.2">
      <c r="A20" s="12" t="s">
        <v>100</v>
      </c>
      <c r="B20" s="12"/>
      <c r="C20" s="12">
        <v>4</v>
      </c>
      <c r="D20" s="12">
        <v>2</v>
      </c>
      <c r="E20" s="12">
        <v>4</v>
      </c>
      <c r="F20" s="12">
        <v>13.5861358642578</v>
      </c>
      <c r="G20" s="12">
        <v>9.2001638412475497</v>
      </c>
      <c r="H20" s="12">
        <v>0.64207196235656705</v>
      </c>
      <c r="I20" s="12">
        <v>425.73855345323301</v>
      </c>
      <c r="K20" t="s">
        <v>469</v>
      </c>
      <c r="M20" s="12">
        <v>21.404778957366901</v>
      </c>
      <c r="N20" s="12">
        <v>5.5155035549999996</v>
      </c>
      <c r="O20" s="12">
        <v>15.8892754023669</v>
      </c>
      <c r="P20" s="12">
        <v>11.209353193</v>
      </c>
      <c r="Q20" s="12">
        <v>2.492844109</v>
      </c>
      <c r="R20" s="12">
        <v>6.3146721330000002</v>
      </c>
      <c r="S20" s="12">
        <v>425.73855345323301</v>
      </c>
      <c r="T20" s="12" t="s">
        <v>333</v>
      </c>
      <c r="U20" t="s">
        <v>469</v>
      </c>
      <c r="V20" s="12"/>
      <c r="W20" s="12">
        <v>472.62012796986397</v>
      </c>
    </row>
    <row r="21" spans="1:23" x14ac:dyDescent="0.2">
      <c r="A21" s="12" t="s">
        <v>103</v>
      </c>
      <c r="B21" s="12"/>
      <c r="C21" s="12">
        <v>4</v>
      </c>
      <c r="D21" s="12">
        <v>2</v>
      </c>
      <c r="E21" s="12">
        <v>4</v>
      </c>
      <c r="F21" s="12">
        <v>12.748260021209701</v>
      </c>
      <c r="G21" s="12">
        <v>8.7336640357971191</v>
      </c>
      <c r="H21" s="12">
        <v>0.477541923522949</v>
      </c>
      <c r="I21" s="12">
        <v>384.57416531065502</v>
      </c>
      <c r="K21" t="s">
        <v>469</v>
      </c>
      <c r="M21" s="12">
        <v>23.317802906036299</v>
      </c>
      <c r="N21" s="12">
        <v>5.5303805940000004</v>
      </c>
      <c r="O21" s="12">
        <v>17.787422312036298</v>
      </c>
      <c r="P21" s="12">
        <v>11.246787508000001</v>
      </c>
      <c r="Q21" s="12">
        <v>2.54029595</v>
      </c>
      <c r="R21" s="12">
        <v>8.1375068469999992</v>
      </c>
      <c r="S21" s="12">
        <v>384.574165310654</v>
      </c>
      <c r="T21" s="12" t="s">
        <v>333</v>
      </c>
      <c r="U21" t="s">
        <v>469</v>
      </c>
      <c r="V21" s="12"/>
      <c r="W21" s="12">
        <v>461.94943740166798</v>
      </c>
    </row>
    <row r="22" spans="1:23" s="33" customFormat="1" x14ac:dyDescent="0.2">
      <c r="A22" s="35"/>
      <c r="B22" s="35"/>
      <c r="C22" s="35">
        <v>4</v>
      </c>
      <c r="D22" s="35">
        <v>2</v>
      </c>
      <c r="E22" s="35"/>
      <c r="F22" s="35">
        <f>AVERAGE(F2:F21)</f>
        <v>13.754736292362171</v>
      </c>
      <c r="G22" s="35">
        <f t="shared" ref="G22:I22" si="0">AVERAGE(G2:G21)</f>
        <v>8.9304191470146144</v>
      </c>
      <c r="H22" s="35">
        <f t="shared" si="0"/>
        <v>1.1690770626068097</v>
      </c>
      <c r="I22" s="35">
        <f t="shared" si="0"/>
        <v>402.27627693324587</v>
      </c>
      <c r="M22" s="35">
        <f>AVERAGE(M2:M21)</f>
        <v>20.966304135322513</v>
      </c>
      <c r="N22" s="35">
        <f t="shared" ref="N22:S22" si="1">AVERAGE(N2:N21)</f>
        <v>6.1496537301999963</v>
      </c>
      <c r="O22" s="35">
        <f t="shared" si="1"/>
        <v>14.816650405122516</v>
      </c>
      <c r="P22" s="35">
        <f t="shared" si="1"/>
        <v>11.9761290432</v>
      </c>
      <c r="Q22" s="35">
        <f t="shared" si="1"/>
        <v>3.1226714630499992</v>
      </c>
      <c r="R22" s="35">
        <f t="shared" si="1"/>
        <v>4.4644767818000002</v>
      </c>
      <c r="S22" s="35">
        <f t="shared" si="1"/>
        <v>402.3236795275028</v>
      </c>
      <c r="T22" s="35"/>
      <c r="V22" s="35"/>
      <c r="W22" s="35">
        <f>AVERAGE(W2:W21)</f>
        <v>467.0286917000567</v>
      </c>
    </row>
    <row r="23" spans="1:23" x14ac:dyDescent="0.2">
      <c r="A23" s="12" t="s">
        <v>45</v>
      </c>
      <c r="B23" s="12"/>
      <c r="C23" s="12">
        <v>7</v>
      </c>
      <c r="D23" s="12">
        <v>4</v>
      </c>
      <c r="E23" s="12">
        <v>3</v>
      </c>
      <c r="F23" s="12">
        <v>13.6703078746795</v>
      </c>
      <c r="G23" s="12">
        <v>8.5541038513183594</v>
      </c>
      <c r="H23" s="12">
        <v>1.58947300910949</v>
      </c>
      <c r="I23" s="12">
        <v>404.26001495053998</v>
      </c>
      <c r="K23" t="s">
        <v>469</v>
      </c>
      <c r="M23" s="12">
        <v>19.978755950927699</v>
      </c>
      <c r="N23" s="12">
        <v>6.48132354</v>
      </c>
      <c r="O23" s="12">
        <v>13.497432410927701</v>
      </c>
      <c r="P23" s="12">
        <v>13.528598817000001</v>
      </c>
      <c r="Q23" s="12">
        <v>4.9944587279999997</v>
      </c>
      <c r="R23" s="12">
        <v>0</v>
      </c>
      <c r="S23" s="12">
        <v>404.26001495053998</v>
      </c>
      <c r="T23" s="12" t="s">
        <v>333</v>
      </c>
      <c r="U23" t="s">
        <v>469</v>
      </c>
      <c r="V23" s="12"/>
      <c r="W23" s="12">
        <v>485.00719668212997</v>
      </c>
    </row>
    <row r="24" spans="1:23" x14ac:dyDescent="0.2">
      <c r="A24" s="12" t="s">
        <v>48</v>
      </c>
      <c r="B24" s="12"/>
      <c r="C24" s="12">
        <v>7</v>
      </c>
      <c r="D24" s="12">
        <v>4</v>
      </c>
      <c r="E24" s="12">
        <v>4</v>
      </c>
      <c r="F24" s="12">
        <v>13.533073186874301</v>
      </c>
      <c r="G24" s="12">
        <v>8.6540060043334908</v>
      </c>
      <c r="H24" s="12">
        <v>1.29727983474731</v>
      </c>
      <c r="I24" s="12">
        <v>376.67449743063401</v>
      </c>
      <c r="K24" t="s">
        <v>469</v>
      </c>
      <c r="M24" s="12">
        <v>17.506978988647401</v>
      </c>
      <c r="N24" s="12">
        <v>5.704919512</v>
      </c>
      <c r="O24" s="12">
        <v>11.802059476647401</v>
      </c>
      <c r="P24" s="12">
        <v>11.940105208</v>
      </c>
      <c r="Q24" s="12">
        <v>4.0527973780000002</v>
      </c>
      <c r="R24" s="12">
        <v>1.3297111E-2</v>
      </c>
      <c r="S24" s="12">
        <v>376.67449743063401</v>
      </c>
      <c r="T24" s="12" t="s">
        <v>333</v>
      </c>
      <c r="U24" t="s">
        <v>469</v>
      </c>
      <c r="V24" s="12"/>
      <c r="W24" s="12">
        <v>375.42297624023797</v>
      </c>
    </row>
    <row r="25" spans="1:23" x14ac:dyDescent="0.2">
      <c r="A25" s="12" t="s">
        <v>51</v>
      </c>
      <c r="B25" s="12"/>
      <c r="C25" s="12">
        <v>7</v>
      </c>
      <c r="D25" s="12">
        <v>4</v>
      </c>
      <c r="E25" s="12">
        <v>3</v>
      </c>
      <c r="F25" s="12">
        <v>13.985677003860401</v>
      </c>
      <c r="G25" s="12">
        <v>8.5163021087646396</v>
      </c>
      <c r="H25" s="12">
        <v>1.9051611423492401</v>
      </c>
      <c r="I25" s="12">
        <v>314.63320825020799</v>
      </c>
      <c r="K25" t="s">
        <v>469</v>
      </c>
      <c r="M25" s="12">
        <v>22.3550059795379</v>
      </c>
      <c r="N25" s="12">
        <v>5.7232492649999998</v>
      </c>
      <c r="O25" s="12">
        <v>16.6317567145379</v>
      </c>
      <c r="P25" s="12">
        <v>11.928576471</v>
      </c>
      <c r="Q25" s="12">
        <v>2.5575774670000002</v>
      </c>
      <c r="R25" s="12">
        <v>6.4041700580000001</v>
      </c>
      <c r="S25" s="12">
        <v>314.63320825020799</v>
      </c>
      <c r="T25" s="12" t="s">
        <v>333</v>
      </c>
      <c r="U25" t="s">
        <v>469</v>
      </c>
      <c r="V25" s="12"/>
      <c r="W25" s="12">
        <v>315.40610966711699</v>
      </c>
    </row>
    <row r="26" spans="1:23" x14ac:dyDescent="0.2">
      <c r="A26" s="12" t="s">
        <v>54</v>
      </c>
      <c r="B26" s="12"/>
      <c r="C26" s="12">
        <v>7</v>
      </c>
      <c r="D26" s="12">
        <v>4</v>
      </c>
      <c r="E26" s="12">
        <v>3</v>
      </c>
      <c r="F26" s="12">
        <v>15.5399529933929</v>
      </c>
      <c r="G26" s="12">
        <v>8.58182501792907</v>
      </c>
      <c r="H26" s="12">
        <v>3.3596720695495601</v>
      </c>
      <c r="I26" s="12">
        <v>326.762952311785</v>
      </c>
      <c r="K26" t="s">
        <v>469</v>
      </c>
      <c r="M26" s="12">
        <v>22.671767950057902</v>
      </c>
      <c r="N26" s="12">
        <v>5.6163698960000001</v>
      </c>
      <c r="O26" s="12">
        <v>17.0553980540579</v>
      </c>
      <c r="P26" s="12">
        <v>11.839773224</v>
      </c>
      <c r="Q26" s="12">
        <v>2.5966436369999899</v>
      </c>
      <c r="R26" s="12">
        <v>6.8370364700000001</v>
      </c>
      <c r="S26" s="12">
        <v>326.762952311785</v>
      </c>
      <c r="T26" s="12" t="s">
        <v>333</v>
      </c>
      <c r="U26" t="s">
        <v>469</v>
      </c>
      <c r="V26" s="12"/>
      <c r="W26" s="12">
        <v>341.98174927182401</v>
      </c>
    </row>
    <row r="27" spans="1:23" x14ac:dyDescent="0.2">
      <c r="A27" s="12" t="s">
        <v>59</v>
      </c>
      <c r="B27" s="12"/>
      <c r="C27" s="12">
        <v>7</v>
      </c>
      <c r="D27" s="12">
        <v>4</v>
      </c>
      <c r="E27" s="12">
        <v>3</v>
      </c>
      <c r="F27" s="12">
        <v>14.4149410724639</v>
      </c>
      <c r="G27" s="12">
        <v>8.5992569923400808</v>
      </c>
      <c r="H27" s="12">
        <v>2.2093369960784899</v>
      </c>
      <c r="I27" s="12">
        <v>298.27040084693903</v>
      </c>
      <c r="K27" t="s">
        <v>469</v>
      </c>
      <c r="M27" s="12">
        <v>17.519498109817501</v>
      </c>
      <c r="N27" s="12">
        <v>5.7233166549999996</v>
      </c>
      <c r="O27" s="12">
        <v>11.7961814548175</v>
      </c>
      <c r="P27" s="12">
        <v>11.903433171</v>
      </c>
      <c r="Q27" s="12">
        <v>4.2054782169999996</v>
      </c>
      <c r="R27" s="12">
        <v>1.3489676000000001E-2</v>
      </c>
      <c r="S27" s="12">
        <v>298.27040084693903</v>
      </c>
      <c r="T27" s="12" t="s">
        <v>333</v>
      </c>
      <c r="U27" t="s">
        <v>469</v>
      </c>
      <c r="V27" s="12"/>
      <c r="W27" s="12">
        <v>305.83209001039</v>
      </c>
    </row>
    <row r="28" spans="1:23" x14ac:dyDescent="0.2">
      <c r="A28" s="12" t="s">
        <v>62</v>
      </c>
      <c r="B28" s="12"/>
      <c r="C28" s="12">
        <v>7</v>
      </c>
      <c r="D28" s="12">
        <v>4</v>
      </c>
      <c r="E28" s="12">
        <v>3</v>
      </c>
      <c r="F28" s="12">
        <v>14.507005929946899</v>
      </c>
      <c r="G28" s="12">
        <v>8.5849440097808802</v>
      </c>
      <c r="H28" s="12">
        <v>2.36427903175354</v>
      </c>
      <c r="I28" s="12">
        <v>389.65319045674897</v>
      </c>
      <c r="K28" t="s">
        <v>469</v>
      </c>
      <c r="M28" s="12">
        <v>18.953125</v>
      </c>
      <c r="N28" s="12">
        <v>5.7583866849999996</v>
      </c>
      <c r="O28" s="12">
        <v>13.194738314999899</v>
      </c>
      <c r="P28" s="12">
        <v>11.800993278</v>
      </c>
      <c r="Q28" s="12">
        <v>5.6839607540000001</v>
      </c>
      <c r="R28" s="12">
        <v>1.4508497E-2</v>
      </c>
      <c r="S28" s="12">
        <v>389.65319045674897</v>
      </c>
      <c r="T28" s="12" t="s">
        <v>333</v>
      </c>
      <c r="U28" t="s">
        <v>469</v>
      </c>
      <c r="V28" s="12"/>
      <c r="W28" s="12">
        <v>435.30713733059901</v>
      </c>
    </row>
    <row r="29" spans="1:23" x14ac:dyDescent="0.2">
      <c r="A29" s="12" t="s">
        <v>65</v>
      </c>
      <c r="B29" s="12"/>
      <c r="C29" s="12">
        <v>7</v>
      </c>
      <c r="D29" s="12">
        <v>4</v>
      </c>
      <c r="E29" s="12">
        <v>3</v>
      </c>
      <c r="F29" s="12">
        <v>17.4045090675354</v>
      </c>
      <c r="G29" s="12">
        <v>8.5227479934692294</v>
      </c>
      <c r="H29" s="12">
        <v>5.3891351222991899</v>
      </c>
      <c r="I29" s="12">
        <v>376.01188940240598</v>
      </c>
      <c r="K29" t="s">
        <v>469</v>
      </c>
      <c r="M29" s="12">
        <v>22.3227040767669</v>
      </c>
      <c r="N29" s="12">
        <v>5.6720360100000002</v>
      </c>
      <c r="O29" s="12">
        <v>16.650668066766901</v>
      </c>
      <c r="P29" s="12">
        <v>11.816806915000001</v>
      </c>
      <c r="Q29" s="12">
        <v>2.5944952730000002</v>
      </c>
      <c r="R29" s="12">
        <v>6.5138306589999999</v>
      </c>
      <c r="S29" s="12">
        <v>376.01188940240598</v>
      </c>
      <c r="T29" s="12" t="s">
        <v>333</v>
      </c>
      <c r="U29" t="s">
        <v>469</v>
      </c>
      <c r="V29" s="12"/>
      <c r="W29" s="12">
        <v>376.01188940240598</v>
      </c>
    </row>
    <row r="30" spans="1:23" x14ac:dyDescent="0.2">
      <c r="A30" s="12" t="s">
        <v>68</v>
      </c>
      <c r="B30" s="12"/>
      <c r="C30" s="12">
        <v>7</v>
      </c>
      <c r="D30" s="12">
        <v>4</v>
      </c>
      <c r="E30" s="12">
        <v>3</v>
      </c>
      <c r="F30" s="12">
        <v>20.938029050827001</v>
      </c>
      <c r="G30" s="12">
        <v>9.2894380092620796</v>
      </c>
      <c r="H30" s="12">
        <v>7.9015369415283203</v>
      </c>
      <c r="I30" s="12">
        <v>316.02815874596399</v>
      </c>
      <c r="K30" t="s">
        <v>469</v>
      </c>
      <c r="M30" s="12">
        <v>23.187359809875399</v>
      </c>
      <c r="N30" s="12">
        <v>5.6880788569999998</v>
      </c>
      <c r="O30" s="12">
        <v>17.499280952875399</v>
      </c>
      <c r="P30" s="12">
        <v>11.870482667999999</v>
      </c>
      <c r="Q30" s="12">
        <v>2.58384922999999</v>
      </c>
      <c r="R30" s="12">
        <v>7.2600709520000004</v>
      </c>
      <c r="S30" s="12">
        <v>316.02815874596502</v>
      </c>
      <c r="T30" s="12" t="s">
        <v>333</v>
      </c>
      <c r="U30" t="s">
        <v>469</v>
      </c>
      <c r="V30" s="12"/>
      <c r="W30" s="12">
        <v>319.79087625751498</v>
      </c>
    </row>
    <row r="31" spans="1:23" x14ac:dyDescent="0.2">
      <c r="A31" s="12" t="s">
        <v>71</v>
      </c>
      <c r="B31" s="12"/>
      <c r="C31" s="12">
        <v>7</v>
      </c>
      <c r="D31" s="12">
        <v>4</v>
      </c>
      <c r="E31" s="12">
        <v>3</v>
      </c>
      <c r="F31" s="12">
        <v>22.246567010879499</v>
      </c>
      <c r="G31" s="12">
        <v>9.2083427906036306</v>
      </c>
      <c r="H31" s="12">
        <v>9.2628769874572701</v>
      </c>
      <c r="I31" s="12">
        <v>316.90014456721798</v>
      </c>
      <c r="K31" t="s">
        <v>469</v>
      </c>
      <c r="M31" s="12">
        <v>22.927386999130199</v>
      </c>
      <c r="N31" s="12">
        <v>5.6323868529999999</v>
      </c>
      <c r="O31" s="12">
        <v>17.295000146130199</v>
      </c>
      <c r="P31" s="12">
        <v>11.712658694</v>
      </c>
      <c r="Q31" s="12">
        <v>2.9064359720000001</v>
      </c>
      <c r="R31" s="12">
        <v>6.85077844</v>
      </c>
      <c r="S31" s="12">
        <v>316.90014456721798</v>
      </c>
      <c r="T31" s="12" t="s">
        <v>333</v>
      </c>
      <c r="U31" t="s">
        <v>469</v>
      </c>
      <c r="V31" s="12"/>
      <c r="W31" s="12">
        <v>324.18314857603298</v>
      </c>
    </row>
    <row r="32" spans="1:23" x14ac:dyDescent="0.2">
      <c r="A32" s="12" t="s">
        <v>74</v>
      </c>
      <c r="B32" s="12"/>
      <c r="C32" s="12">
        <v>7</v>
      </c>
      <c r="D32" s="12">
        <v>4</v>
      </c>
      <c r="E32" s="12">
        <v>3</v>
      </c>
      <c r="F32" s="12">
        <v>37.755502939224201</v>
      </c>
      <c r="G32" s="12">
        <v>8.5169000625610298</v>
      </c>
      <c r="H32" s="12">
        <v>25.741121053695601</v>
      </c>
      <c r="I32" s="12">
        <v>331.17345430660703</v>
      </c>
      <c r="K32" t="s">
        <v>469</v>
      </c>
      <c r="M32" s="12">
        <v>29.740000963210999</v>
      </c>
      <c r="N32" s="12">
        <v>5.6468391630000001</v>
      </c>
      <c r="O32" s="12">
        <v>24.093161800211</v>
      </c>
      <c r="P32" s="12">
        <v>11.812824803</v>
      </c>
      <c r="Q32" s="12">
        <v>2.593008196</v>
      </c>
      <c r="R32" s="12">
        <v>13.931125144999999</v>
      </c>
      <c r="S32" s="12">
        <v>331.17345430660703</v>
      </c>
      <c r="T32" s="12" t="s">
        <v>333</v>
      </c>
      <c r="U32" t="s">
        <v>469</v>
      </c>
      <c r="V32" s="12"/>
      <c r="W32" s="12">
        <v>331.54679989521799</v>
      </c>
    </row>
    <row r="33" spans="1:23" x14ac:dyDescent="0.2">
      <c r="A33" s="12" t="s">
        <v>77</v>
      </c>
      <c r="B33" s="12"/>
      <c r="C33" s="12">
        <v>7</v>
      </c>
      <c r="D33" s="12">
        <v>4</v>
      </c>
      <c r="E33" s="12">
        <v>3</v>
      </c>
      <c r="F33" s="12">
        <v>16.481486082077001</v>
      </c>
      <c r="G33" s="12">
        <v>9.2457010746002197</v>
      </c>
      <c r="H33" s="12">
        <v>3.4855608940124498</v>
      </c>
      <c r="I33" s="12">
        <v>363.85369617237802</v>
      </c>
      <c r="K33" t="s">
        <v>469</v>
      </c>
      <c r="M33" s="12">
        <v>28.005120992660501</v>
      </c>
      <c r="N33" s="12">
        <v>5.9047774290000001</v>
      </c>
      <c r="O33" s="12">
        <v>22.100343563660498</v>
      </c>
      <c r="P33" s="12">
        <v>12.080023317</v>
      </c>
      <c r="Q33" s="12">
        <v>3.3575189609999998</v>
      </c>
      <c r="R33" s="12">
        <v>11.162414111</v>
      </c>
      <c r="S33" s="12">
        <v>363.85369617237802</v>
      </c>
      <c r="T33" s="12" t="s">
        <v>333</v>
      </c>
      <c r="U33" t="s">
        <v>469</v>
      </c>
      <c r="V33" s="12"/>
      <c r="W33" s="12">
        <v>395.974256534375</v>
      </c>
    </row>
    <row r="34" spans="1:23" x14ac:dyDescent="0.2">
      <c r="A34" s="12" t="s">
        <v>80</v>
      </c>
      <c r="B34" s="12"/>
      <c r="C34" s="12">
        <v>7</v>
      </c>
      <c r="D34" s="12">
        <v>4</v>
      </c>
      <c r="E34" s="12">
        <v>3</v>
      </c>
      <c r="F34" s="12">
        <v>23.0985732078552</v>
      </c>
      <c r="G34" s="12">
        <v>9.2651791572570801</v>
      </c>
      <c r="H34" s="12">
        <v>10.082584142684899</v>
      </c>
      <c r="I34" s="12">
        <v>344.43035120638399</v>
      </c>
      <c r="K34" t="s">
        <v>469</v>
      </c>
      <c r="M34" s="12">
        <v>28.276041984558098</v>
      </c>
      <c r="N34" s="12">
        <v>5.8918805059999997</v>
      </c>
      <c r="O34" s="12">
        <v>22.384161478558099</v>
      </c>
      <c r="P34" s="12">
        <v>12.021367439</v>
      </c>
      <c r="Q34" s="12">
        <v>2.8466960939999999</v>
      </c>
      <c r="R34" s="12">
        <v>12.008044353000001</v>
      </c>
      <c r="S34" s="12">
        <v>344.43035120638399</v>
      </c>
      <c r="T34" s="12" t="s">
        <v>333</v>
      </c>
      <c r="U34" t="s">
        <v>469</v>
      </c>
      <c r="V34" s="12"/>
      <c r="W34" s="12">
        <v>342.64994248154898</v>
      </c>
    </row>
    <row r="35" spans="1:23" x14ac:dyDescent="0.2">
      <c r="A35" s="12" t="s">
        <v>83</v>
      </c>
      <c r="B35" s="12"/>
      <c r="C35" s="12">
        <v>7</v>
      </c>
      <c r="D35" s="12">
        <v>4</v>
      </c>
      <c r="E35" s="12">
        <v>3</v>
      </c>
      <c r="F35" s="12">
        <v>24.160286903381301</v>
      </c>
      <c r="G35" s="12">
        <v>9.2846088409423793</v>
      </c>
      <c r="H35" s="12">
        <v>11.1168138980865</v>
      </c>
      <c r="I35" s="12">
        <v>306.37536544450899</v>
      </c>
      <c r="K35" t="s">
        <v>469</v>
      </c>
      <c r="M35" s="12">
        <v>25.986145973205499</v>
      </c>
      <c r="N35" s="12">
        <v>6.0914627859999904</v>
      </c>
      <c r="O35" s="12">
        <v>19.894683187205501</v>
      </c>
      <c r="P35" s="12">
        <v>12.695466100000001</v>
      </c>
      <c r="Q35" s="12">
        <v>2.9755639540000001</v>
      </c>
      <c r="R35" s="12">
        <v>8.8122204029999995</v>
      </c>
      <c r="S35" s="12">
        <v>306.37536544450899</v>
      </c>
      <c r="T35" s="12" t="s">
        <v>333</v>
      </c>
      <c r="U35" t="s">
        <v>469</v>
      </c>
      <c r="V35" s="12"/>
      <c r="W35" s="12">
        <v>306.37536544450899</v>
      </c>
    </row>
    <row r="36" spans="1:23" x14ac:dyDescent="0.2">
      <c r="A36" s="12" t="s">
        <v>86</v>
      </c>
      <c r="B36" s="12"/>
      <c r="C36" s="12">
        <v>7</v>
      </c>
      <c r="D36" s="12">
        <v>4</v>
      </c>
      <c r="E36" s="12">
        <v>3</v>
      </c>
      <c r="F36" s="12">
        <v>17.516735076904201</v>
      </c>
      <c r="G36" s="12">
        <v>9.2595829963683993</v>
      </c>
      <c r="H36" s="12">
        <v>4.5108749866485596</v>
      </c>
      <c r="I36" s="12">
        <v>318.84458180724403</v>
      </c>
      <c r="K36" t="s">
        <v>469</v>
      </c>
      <c r="M36" s="12">
        <v>18.2036950588226</v>
      </c>
      <c r="N36" s="12">
        <v>5.6335676689999996</v>
      </c>
      <c r="O36" s="12">
        <v>12.5701273898226</v>
      </c>
      <c r="P36" s="12">
        <v>11.896569507000001</v>
      </c>
      <c r="Q36" s="12">
        <v>5.0453248989999997</v>
      </c>
      <c r="R36" s="12">
        <v>0</v>
      </c>
      <c r="S36" s="12">
        <v>318.84458180724403</v>
      </c>
      <c r="T36" s="12" t="s">
        <v>333</v>
      </c>
      <c r="U36" t="s">
        <v>469</v>
      </c>
      <c r="V36" s="12"/>
      <c r="W36" s="12">
        <v>319.13492855981502</v>
      </c>
    </row>
    <row r="37" spans="1:23" x14ac:dyDescent="0.2">
      <c r="A37" s="12" t="s">
        <v>89</v>
      </c>
      <c r="B37" s="12"/>
      <c r="C37" s="12">
        <v>7</v>
      </c>
      <c r="D37" s="12">
        <v>4</v>
      </c>
      <c r="E37" s="12">
        <v>3</v>
      </c>
      <c r="F37" s="12">
        <v>24.989189863204899</v>
      </c>
      <c r="G37" s="12">
        <v>9.1836938858032209</v>
      </c>
      <c r="H37" s="12">
        <v>12.069278955459501</v>
      </c>
      <c r="I37" s="12">
        <v>328.35823822856599</v>
      </c>
      <c r="K37" t="s">
        <v>469</v>
      </c>
      <c r="M37" s="12">
        <v>26.388031959533599</v>
      </c>
      <c r="N37" s="12">
        <v>5.5265884300000003</v>
      </c>
      <c r="O37" s="12">
        <v>20.861443529533599</v>
      </c>
      <c r="P37" s="12">
        <v>11.615604187000001</v>
      </c>
      <c r="Q37" s="12">
        <v>2.7613510379999999</v>
      </c>
      <c r="R37" s="12">
        <v>10.607625836</v>
      </c>
      <c r="S37" s="12">
        <v>328.35823822856599</v>
      </c>
      <c r="T37" s="12" t="s">
        <v>333</v>
      </c>
      <c r="U37" t="s">
        <v>469</v>
      </c>
      <c r="V37" s="12"/>
      <c r="W37" s="12">
        <v>334.47998349746598</v>
      </c>
    </row>
    <row r="38" spans="1:23" x14ac:dyDescent="0.2">
      <c r="A38" s="12" t="s">
        <v>92</v>
      </c>
      <c r="B38" s="12"/>
      <c r="C38" s="12">
        <v>7</v>
      </c>
      <c r="D38" s="12">
        <v>4</v>
      </c>
      <c r="E38" s="12">
        <v>3</v>
      </c>
      <c r="F38" s="12">
        <v>15.1916298866271</v>
      </c>
      <c r="G38" s="12">
        <v>9.1674838066101003</v>
      </c>
      <c r="H38" s="12">
        <v>2.290461063385</v>
      </c>
      <c r="I38" s="12">
        <v>404.77297938692698</v>
      </c>
      <c r="K38" t="s">
        <v>469</v>
      </c>
      <c r="M38" s="12">
        <v>22.602641105651799</v>
      </c>
      <c r="N38" s="12">
        <v>5.5072764769999996</v>
      </c>
      <c r="O38" s="12">
        <v>17.095364628651801</v>
      </c>
      <c r="P38" s="12">
        <v>11.611618947</v>
      </c>
      <c r="Q38" s="12">
        <v>3.6162790600000001</v>
      </c>
      <c r="R38" s="12">
        <v>5.9661760490000004</v>
      </c>
      <c r="S38" s="12">
        <v>404.77297938692698</v>
      </c>
      <c r="T38" s="12" t="s">
        <v>333</v>
      </c>
      <c r="U38" t="s">
        <v>469</v>
      </c>
      <c r="V38" s="12"/>
      <c r="W38" s="12">
        <v>450.56165498301698</v>
      </c>
    </row>
    <row r="39" spans="1:23" x14ac:dyDescent="0.2">
      <c r="A39" s="12" t="s">
        <v>95</v>
      </c>
      <c r="B39" s="12"/>
      <c r="C39" s="12">
        <v>7</v>
      </c>
      <c r="D39" s="12">
        <v>4</v>
      </c>
      <c r="E39" s="12">
        <v>3</v>
      </c>
      <c r="F39" s="12">
        <v>13.942370891571001</v>
      </c>
      <c r="G39" s="12">
        <v>9.1650331020355207</v>
      </c>
      <c r="H39" s="12">
        <v>1.027587890625</v>
      </c>
      <c r="I39" s="12">
        <v>347.89890304146297</v>
      </c>
      <c r="K39" t="s">
        <v>469</v>
      </c>
      <c r="M39" s="12">
        <v>40.029600143432603</v>
      </c>
      <c r="N39" s="12">
        <v>5.5238951260000002</v>
      </c>
      <c r="O39" s="12">
        <v>34.505705017432597</v>
      </c>
      <c r="P39" s="12">
        <v>11.596910277999999</v>
      </c>
      <c r="Q39" s="12">
        <v>2.7631136729999999</v>
      </c>
      <c r="R39" s="12">
        <v>24.268095170999999</v>
      </c>
      <c r="S39" s="12">
        <v>347.89890304146297</v>
      </c>
      <c r="T39" s="12" t="s">
        <v>333</v>
      </c>
      <c r="U39" t="s">
        <v>469</v>
      </c>
      <c r="V39" s="12"/>
      <c r="W39" s="12">
        <v>347.89890304146297</v>
      </c>
    </row>
    <row r="40" spans="1:23" x14ac:dyDescent="0.2">
      <c r="A40" s="12" t="s">
        <v>98</v>
      </c>
      <c r="B40" s="12"/>
      <c r="C40" s="12">
        <v>7</v>
      </c>
      <c r="D40" s="12">
        <v>4</v>
      </c>
      <c r="E40" s="12">
        <v>3</v>
      </c>
      <c r="F40" s="12">
        <v>15.276602983474699</v>
      </c>
      <c r="G40" s="12">
        <v>9.2070069313049299</v>
      </c>
      <c r="H40" s="12">
        <v>2.3362019062042201</v>
      </c>
      <c r="I40" s="12">
        <v>306.93271265014999</v>
      </c>
      <c r="K40" t="s">
        <v>469</v>
      </c>
      <c r="M40" s="12">
        <v>16.671000003814601</v>
      </c>
      <c r="N40" s="12">
        <v>5.5167301750000002</v>
      </c>
      <c r="O40" s="12">
        <v>11.1542698288146</v>
      </c>
      <c r="P40" s="12">
        <v>11.698351580000001</v>
      </c>
      <c r="Q40" s="12">
        <v>3.7383161669999998</v>
      </c>
      <c r="R40" s="12">
        <v>0</v>
      </c>
      <c r="S40" s="12">
        <v>306.93271265014999</v>
      </c>
      <c r="T40" s="12" t="s">
        <v>333</v>
      </c>
      <c r="U40" t="s">
        <v>469</v>
      </c>
      <c r="V40" s="12"/>
      <c r="W40" s="12">
        <v>306.93271265014999</v>
      </c>
    </row>
    <row r="41" spans="1:23" x14ac:dyDescent="0.2">
      <c r="A41" s="12" t="s">
        <v>101</v>
      </c>
      <c r="B41" s="12"/>
      <c r="C41" s="12">
        <v>7</v>
      </c>
      <c r="D41" s="12">
        <v>4</v>
      </c>
      <c r="E41" s="12">
        <v>3</v>
      </c>
      <c r="F41" s="12">
        <v>15.626363039016701</v>
      </c>
      <c r="G41" s="12">
        <v>9.2130348682403493</v>
      </c>
      <c r="H41" s="12">
        <v>2.6603250503539999</v>
      </c>
      <c r="I41" s="12">
        <v>326.22392328120799</v>
      </c>
      <c r="K41" t="s">
        <v>469</v>
      </c>
      <c r="M41" s="12">
        <v>24.224114179611199</v>
      </c>
      <c r="N41" s="12">
        <v>5.5313528179999896</v>
      </c>
      <c r="O41" s="12">
        <v>18.6927613616112</v>
      </c>
      <c r="P41" s="12">
        <v>11.688925759</v>
      </c>
      <c r="Q41" s="12">
        <v>2.6678472929999999</v>
      </c>
      <c r="R41" s="12">
        <v>8.4652141790000002</v>
      </c>
      <c r="S41" s="12">
        <v>326.22392328120799</v>
      </c>
      <c r="T41" s="12" t="s">
        <v>333</v>
      </c>
      <c r="U41" t="s">
        <v>469</v>
      </c>
      <c r="V41" s="12"/>
      <c r="W41" s="12">
        <v>329.63167171043398</v>
      </c>
    </row>
    <row r="42" spans="1:23" x14ac:dyDescent="0.2">
      <c r="A42" s="12" t="s">
        <v>104</v>
      </c>
      <c r="B42" s="12"/>
      <c r="C42" s="12">
        <v>7</v>
      </c>
      <c r="D42" s="12">
        <v>4</v>
      </c>
      <c r="E42" s="12">
        <v>3</v>
      </c>
      <c r="F42" s="12">
        <v>15.8278379440307</v>
      </c>
      <c r="G42" s="12">
        <v>9.1691658496856601</v>
      </c>
      <c r="H42" s="12">
        <v>2.93057012557983</v>
      </c>
      <c r="I42" s="12">
        <v>331.75037711574998</v>
      </c>
      <c r="K42" t="s">
        <v>469</v>
      </c>
      <c r="M42" s="12">
        <v>23.495833158492999</v>
      </c>
      <c r="N42" s="12">
        <v>5.5167935300000002</v>
      </c>
      <c r="O42" s="12">
        <v>17.979039628492998</v>
      </c>
      <c r="P42" s="12">
        <v>11.604878485</v>
      </c>
      <c r="Q42" s="12">
        <v>2.6687413950000001</v>
      </c>
      <c r="R42" s="12">
        <v>7.814609323</v>
      </c>
      <c r="S42" s="12">
        <v>331.75037711574998</v>
      </c>
      <c r="T42" s="12" t="s">
        <v>333</v>
      </c>
      <c r="U42" t="s">
        <v>469</v>
      </c>
      <c r="V42" s="12"/>
      <c r="W42" s="12">
        <v>339.63846122636602</v>
      </c>
    </row>
    <row r="43" spans="1:23" s="33" customFormat="1" x14ac:dyDescent="0.2">
      <c r="A43" s="35"/>
      <c r="B43" s="35"/>
      <c r="C43" s="35">
        <v>7</v>
      </c>
      <c r="D43" s="35">
        <v>4</v>
      </c>
      <c r="E43" s="35"/>
      <c r="F43" s="35">
        <f>AVERAGE(F23:F42)</f>
        <v>18.305332100391336</v>
      </c>
      <c r="G43" s="35">
        <f t="shared" ref="G43:I43" si="2">AVERAGE(G23:G42)</f>
        <v>8.9594178676605178</v>
      </c>
      <c r="H43" s="35">
        <f t="shared" si="2"/>
        <v>5.6765065550803984</v>
      </c>
      <c r="I43" s="35">
        <f t="shared" si="2"/>
        <v>341.49045198018143</v>
      </c>
      <c r="M43" s="35">
        <f>AVERAGE(M23:M42)</f>
        <v>23.552240419387765</v>
      </c>
      <c r="N43" s="35">
        <f t="shared" ref="N43:S43" si="3">AVERAGE(N23:N42)</f>
        <v>5.7145615691000007</v>
      </c>
      <c r="O43" s="35">
        <f t="shared" si="3"/>
        <v>17.837678850287766</v>
      </c>
      <c r="P43" s="35">
        <f t="shared" si="3"/>
        <v>11.9331984424</v>
      </c>
      <c r="Q43" s="35">
        <f t="shared" si="3"/>
        <v>3.3604728692999983</v>
      </c>
      <c r="R43" s="35">
        <f t="shared" si="3"/>
        <v>6.8471353216500006</v>
      </c>
      <c r="S43" s="35">
        <f t="shared" si="3"/>
        <v>341.49045198018149</v>
      </c>
      <c r="T43" s="35"/>
      <c r="V43" s="35"/>
      <c r="W43" s="35">
        <f>AVERAGE(W23:W42)</f>
        <v>354.18839267313075</v>
      </c>
    </row>
    <row r="44" spans="1:23" x14ac:dyDescent="0.2">
      <c r="A44" s="12" t="s">
        <v>46</v>
      </c>
      <c r="B44" s="12"/>
      <c r="C44" s="12">
        <v>9</v>
      </c>
      <c r="D44" s="12">
        <v>5</v>
      </c>
      <c r="E44" s="12">
        <v>3</v>
      </c>
      <c r="F44" s="12">
        <v>27.559036016464201</v>
      </c>
      <c r="G44" s="12">
        <v>8.5746090412139893</v>
      </c>
      <c r="H44" s="12">
        <v>15.387299060821499</v>
      </c>
      <c r="I44" s="12">
        <v>423.66545885005002</v>
      </c>
      <c r="K44" t="s">
        <v>469</v>
      </c>
      <c r="M44" s="12">
        <v>28.481627941131499</v>
      </c>
      <c r="N44" s="12">
        <v>5.7189175790000002</v>
      </c>
      <c r="O44" s="12">
        <v>22.7627103621315</v>
      </c>
      <c r="P44" s="12">
        <v>17.551208079999999</v>
      </c>
      <c r="Q44" s="12">
        <v>2.73865807199999</v>
      </c>
      <c r="R44" s="12">
        <v>6.7542697340000002</v>
      </c>
      <c r="S44" s="12">
        <v>423.66545885005002</v>
      </c>
      <c r="T44" s="12" t="s">
        <v>333</v>
      </c>
      <c r="U44" t="s">
        <v>469</v>
      </c>
      <c r="V44" s="12"/>
      <c r="W44" s="12">
        <v>513.32110667938196</v>
      </c>
    </row>
    <row r="45" spans="1:23" x14ac:dyDescent="0.2">
      <c r="A45" s="12" t="s">
        <v>49</v>
      </c>
      <c r="B45" s="12"/>
      <c r="C45" s="12">
        <v>9</v>
      </c>
      <c r="D45" s="12">
        <v>5</v>
      </c>
      <c r="E45" s="12">
        <v>3</v>
      </c>
      <c r="F45" s="12">
        <v>21.5829420089721</v>
      </c>
      <c r="G45" s="12">
        <v>8.5282998085021902</v>
      </c>
      <c r="H45" s="12">
        <v>9.5160980224609304</v>
      </c>
      <c r="I45" s="12">
        <v>416.41796001933699</v>
      </c>
      <c r="K45" t="s">
        <v>469</v>
      </c>
      <c r="M45" s="12">
        <v>29.522310972213699</v>
      </c>
      <c r="N45" s="12">
        <v>5.9146741230000002</v>
      </c>
      <c r="O45" s="12">
        <v>23.607636849213701</v>
      </c>
      <c r="P45" s="12">
        <v>17.927357605000001</v>
      </c>
      <c r="Q45" s="12">
        <v>2.8181283920000002</v>
      </c>
      <c r="R45" s="12">
        <v>7.2849766630000001</v>
      </c>
      <c r="S45" s="12">
        <v>416.41796001933699</v>
      </c>
      <c r="T45" s="12" t="s">
        <v>333</v>
      </c>
      <c r="U45" t="s">
        <v>469</v>
      </c>
      <c r="V45" s="12"/>
      <c r="W45" s="12">
        <v>497.805007225243</v>
      </c>
    </row>
    <row r="46" spans="1:23" x14ac:dyDescent="0.2">
      <c r="A46" s="12" t="s">
        <v>52</v>
      </c>
      <c r="B46" s="12"/>
      <c r="C46" s="12">
        <v>9</v>
      </c>
      <c r="D46" s="12">
        <v>5</v>
      </c>
      <c r="E46" s="12">
        <v>3</v>
      </c>
      <c r="F46" s="12">
        <v>26.435955047607401</v>
      </c>
      <c r="G46" s="12">
        <v>8.5526700019836408</v>
      </c>
      <c r="H46" s="12">
        <v>14.292488098144499</v>
      </c>
      <c r="I46" s="12">
        <v>425.37973631976899</v>
      </c>
      <c r="K46" t="s">
        <v>469</v>
      </c>
      <c r="M46" s="12">
        <v>30.7160530090332</v>
      </c>
      <c r="N46" s="12">
        <v>5.8126729680000002</v>
      </c>
      <c r="O46" s="12">
        <v>24.903380041033198</v>
      </c>
      <c r="P46" s="12">
        <v>17.458318664</v>
      </c>
      <c r="Q46" s="12">
        <v>2.8330634130000001</v>
      </c>
      <c r="R46" s="12">
        <v>8.9557236929999995</v>
      </c>
      <c r="S46" s="12">
        <v>425.49411753800302</v>
      </c>
      <c r="T46" s="12" t="s">
        <v>333</v>
      </c>
      <c r="U46" t="s">
        <v>469</v>
      </c>
      <c r="V46" s="12"/>
      <c r="W46" s="12">
        <v>481.58829843770297</v>
      </c>
    </row>
    <row r="47" spans="1:23" x14ac:dyDescent="0.2">
      <c r="A47" s="12" t="s">
        <v>57</v>
      </c>
      <c r="B47" s="12"/>
      <c r="C47" s="12">
        <v>9</v>
      </c>
      <c r="D47" s="12">
        <v>5</v>
      </c>
      <c r="E47" s="12">
        <v>3</v>
      </c>
      <c r="F47" s="12">
        <v>16.496819972991901</v>
      </c>
      <c r="G47" s="12">
        <v>8.5840039253234792</v>
      </c>
      <c r="H47" s="12">
        <v>4.3177139759063703</v>
      </c>
      <c r="I47" s="12">
        <v>346.86601759865601</v>
      </c>
      <c r="K47" t="s">
        <v>469</v>
      </c>
      <c r="M47" s="12">
        <v>28.484232902526799</v>
      </c>
      <c r="N47" s="12">
        <v>5.5860879150000002</v>
      </c>
      <c r="O47" s="12">
        <v>22.898144987526798</v>
      </c>
      <c r="P47" s="12">
        <v>17.359777518000001</v>
      </c>
      <c r="Q47" s="12">
        <v>2.8078355419999999</v>
      </c>
      <c r="R47" s="12">
        <v>6.9019333449999998</v>
      </c>
      <c r="S47" s="12">
        <v>346.86601759865601</v>
      </c>
      <c r="T47" s="12" t="s">
        <v>333</v>
      </c>
      <c r="U47" t="s">
        <v>469</v>
      </c>
      <c r="V47" s="12"/>
      <c r="W47" s="12">
        <v>411.24052454428801</v>
      </c>
    </row>
    <row r="48" spans="1:23" x14ac:dyDescent="0.2">
      <c r="A48" s="12" t="s">
        <v>60</v>
      </c>
      <c r="B48" s="12"/>
      <c r="C48" s="12">
        <v>9</v>
      </c>
      <c r="D48" s="12">
        <v>5</v>
      </c>
      <c r="E48" s="12">
        <v>3</v>
      </c>
      <c r="F48" s="12">
        <v>17.266847848892201</v>
      </c>
      <c r="G48" s="12">
        <v>8.5398588180541992</v>
      </c>
      <c r="H48" s="12">
        <v>5.1548941135406396</v>
      </c>
      <c r="I48" s="12">
        <v>356.33508211584098</v>
      </c>
      <c r="K48" t="s">
        <v>469</v>
      </c>
      <c r="M48" s="12">
        <v>30.015645027160598</v>
      </c>
      <c r="N48" s="12">
        <v>5.7209665559999996</v>
      </c>
      <c r="O48" s="12">
        <v>24.294678471160601</v>
      </c>
      <c r="P48" s="12">
        <v>17.331791697</v>
      </c>
      <c r="Q48" s="12">
        <v>2.8380349460000001</v>
      </c>
      <c r="R48" s="12">
        <v>8.4292245809999997</v>
      </c>
      <c r="S48" s="12">
        <v>356.33508211584098</v>
      </c>
      <c r="T48" s="12" t="s">
        <v>333</v>
      </c>
      <c r="U48" t="s">
        <v>469</v>
      </c>
      <c r="V48" s="12"/>
      <c r="W48" s="12">
        <v>416.18635091783301</v>
      </c>
    </row>
    <row r="49" spans="1:23" x14ac:dyDescent="0.2">
      <c r="A49" s="12" t="s">
        <v>63</v>
      </c>
      <c r="B49" s="12"/>
      <c r="C49" s="12">
        <v>9</v>
      </c>
      <c r="D49" s="12">
        <v>5</v>
      </c>
      <c r="E49" s="12">
        <v>3</v>
      </c>
      <c r="F49" s="12">
        <v>65.669723987579303</v>
      </c>
      <c r="G49" s="12">
        <v>8.6096038818359304</v>
      </c>
      <c r="H49" s="12">
        <v>53.486216068267801</v>
      </c>
      <c r="I49" s="12">
        <v>434.295514907832</v>
      </c>
      <c r="K49" t="s">
        <v>469</v>
      </c>
      <c r="M49" s="12">
        <v>29.098461866378699</v>
      </c>
      <c r="N49" s="12">
        <v>5.7120559149999997</v>
      </c>
      <c r="O49" s="12">
        <v>23.386405951378698</v>
      </c>
      <c r="P49" s="12">
        <v>17.366676634000001</v>
      </c>
      <c r="Q49" s="12">
        <v>2.6578146330000001</v>
      </c>
      <c r="R49" s="12">
        <v>7.6563670080000001</v>
      </c>
      <c r="S49" s="12">
        <v>434.295514907832</v>
      </c>
      <c r="T49" s="12" t="s">
        <v>333</v>
      </c>
      <c r="U49" t="s">
        <v>469</v>
      </c>
      <c r="V49" s="12"/>
      <c r="W49" s="12">
        <v>526.74329877808896</v>
      </c>
    </row>
    <row r="50" spans="1:23" x14ac:dyDescent="0.2">
      <c r="A50" s="12" t="s">
        <v>66</v>
      </c>
      <c r="B50" s="12"/>
      <c r="C50" s="12">
        <v>9</v>
      </c>
      <c r="D50" s="12">
        <v>5</v>
      </c>
      <c r="E50" s="12">
        <v>4</v>
      </c>
      <c r="F50" s="12">
        <v>23.078097105026199</v>
      </c>
      <c r="G50" s="12">
        <v>8.5673100948333705</v>
      </c>
      <c r="H50" s="12">
        <v>11.009691953659001</v>
      </c>
      <c r="I50" s="12">
        <v>431.01594474504901</v>
      </c>
      <c r="K50" t="s">
        <v>469</v>
      </c>
      <c r="M50" s="12">
        <v>27.857452869415201</v>
      </c>
      <c r="N50" s="12">
        <v>5.6524417749999998</v>
      </c>
      <c r="O50" s="12">
        <v>22.205011094415202</v>
      </c>
      <c r="P50" s="12">
        <v>17.284064889</v>
      </c>
      <c r="Q50" s="12">
        <v>2.5956346890000002</v>
      </c>
      <c r="R50" s="12">
        <v>6.5336863410000001</v>
      </c>
      <c r="S50" s="12">
        <v>431.01594474504799</v>
      </c>
      <c r="T50" s="12" t="s">
        <v>333</v>
      </c>
      <c r="U50" t="s">
        <v>469</v>
      </c>
      <c r="V50" s="12"/>
      <c r="W50" s="12">
        <v>534.89949133948096</v>
      </c>
    </row>
    <row r="51" spans="1:23" x14ac:dyDescent="0.2">
      <c r="A51" s="12" t="s">
        <v>69</v>
      </c>
      <c r="B51" s="12"/>
      <c r="C51" s="12">
        <v>9</v>
      </c>
      <c r="D51" s="12">
        <v>5</v>
      </c>
      <c r="E51" s="12">
        <v>3</v>
      </c>
      <c r="F51" s="12">
        <v>30.194259881973199</v>
      </c>
      <c r="G51" s="12">
        <v>9.2008738517761195</v>
      </c>
      <c r="H51" s="12">
        <v>17.238961219787502</v>
      </c>
      <c r="I51" s="12">
        <v>425.83339051523399</v>
      </c>
      <c r="K51" t="s">
        <v>469</v>
      </c>
      <c r="M51" s="12">
        <v>26.610378980636501</v>
      </c>
      <c r="N51" s="12">
        <v>5.6111061299999996</v>
      </c>
      <c r="O51" s="12">
        <v>20.999272850636501</v>
      </c>
      <c r="P51" s="12">
        <v>17.019644941999999</v>
      </c>
      <c r="Q51" s="12">
        <v>8.1557096770000008</v>
      </c>
      <c r="R51" s="12">
        <v>1.3303064999999999E-2</v>
      </c>
      <c r="S51" s="12">
        <v>425.83339051523399</v>
      </c>
      <c r="T51" s="12" t="s">
        <v>333</v>
      </c>
      <c r="U51" t="s">
        <v>469</v>
      </c>
      <c r="V51" s="12"/>
      <c r="W51" s="12">
        <v>518.65637002724202</v>
      </c>
    </row>
    <row r="52" spans="1:23" x14ac:dyDescent="0.2">
      <c r="A52" s="12" t="s">
        <v>72</v>
      </c>
      <c r="B52" s="12"/>
      <c r="C52" s="12">
        <v>9</v>
      </c>
      <c r="D52" s="12">
        <v>5</v>
      </c>
      <c r="E52" s="12">
        <v>3</v>
      </c>
      <c r="F52" s="12">
        <v>17.466139078140198</v>
      </c>
      <c r="G52" s="12">
        <v>9.3022310733795095</v>
      </c>
      <c r="H52" s="12">
        <v>4.3914399147033603</v>
      </c>
      <c r="I52" s="12">
        <v>362.03011048975998</v>
      </c>
      <c r="K52" t="s">
        <v>469</v>
      </c>
      <c r="M52" s="12">
        <v>27.679319143295199</v>
      </c>
      <c r="N52" s="12">
        <v>5.6101508100000004</v>
      </c>
      <c r="O52" s="12">
        <v>22.069168333295199</v>
      </c>
      <c r="P52" s="12">
        <v>17.496487041000002</v>
      </c>
      <c r="Q52" s="12">
        <v>3.6583985550000002</v>
      </c>
      <c r="R52" s="12">
        <v>5.1079793899999997</v>
      </c>
      <c r="S52" s="12">
        <v>362.03011048975998</v>
      </c>
      <c r="T52" s="12" t="s">
        <v>333</v>
      </c>
      <c r="U52" t="s">
        <v>469</v>
      </c>
      <c r="V52" s="12"/>
      <c r="W52" s="12">
        <v>450.41882925522401</v>
      </c>
    </row>
    <row r="53" spans="1:23" x14ac:dyDescent="0.2">
      <c r="A53" s="12" t="s">
        <v>75</v>
      </c>
      <c r="B53" s="12"/>
      <c r="C53" s="12">
        <v>9</v>
      </c>
      <c r="D53" s="12">
        <v>5</v>
      </c>
      <c r="E53" s="12">
        <v>3</v>
      </c>
      <c r="F53" s="12">
        <v>16.686321973800599</v>
      </c>
      <c r="G53" s="12">
        <v>9.2898480892181396</v>
      </c>
      <c r="H53" s="12">
        <v>3.6338291168212802</v>
      </c>
      <c r="I53" s="12">
        <v>348.113495668486</v>
      </c>
      <c r="K53" t="s">
        <v>469</v>
      </c>
      <c r="M53" s="12">
        <v>27.2866950035095</v>
      </c>
      <c r="N53" s="12">
        <v>5.6417882349999999</v>
      </c>
      <c r="O53" s="12">
        <v>21.6449067685095</v>
      </c>
      <c r="P53" s="12">
        <v>17.208725989000001</v>
      </c>
      <c r="Q53" s="12">
        <v>2.8857910989999902</v>
      </c>
      <c r="R53" s="12">
        <v>5.7579524749999997</v>
      </c>
      <c r="S53" s="12">
        <v>348.113495668486</v>
      </c>
      <c r="T53" s="12" t="s">
        <v>333</v>
      </c>
      <c r="U53" t="s">
        <v>469</v>
      </c>
      <c r="V53" s="12"/>
      <c r="W53" s="12">
        <v>409.239593634085</v>
      </c>
    </row>
    <row r="54" spans="1:23" x14ac:dyDescent="0.2">
      <c r="A54" s="12" t="s">
        <v>78</v>
      </c>
      <c r="B54" s="12"/>
      <c r="C54" s="12">
        <v>9</v>
      </c>
      <c r="D54" s="12">
        <v>5</v>
      </c>
      <c r="E54" s="12">
        <v>3</v>
      </c>
      <c r="F54" s="12">
        <v>61.996844053268397</v>
      </c>
      <c r="G54" s="12">
        <v>9.2812452316284109</v>
      </c>
      <c r="H54" s="12">
        <v>48.949704170227001</v>
      </c>
      <c r="I54" s="12">
        <v>438.79240966109899</v>
      </c>
      <c r="K54" t="s">
        <v>469</v>
      </c>
      <c r="M54" s="12">
        <v>31.9477360248565</v>
      </c>
      <c r="N54" s="12">
        <v>5.5998774219999996</v>
      </c>
      <c r="O54" s="12">
        <v>26.347858602856501</v>
      </c>
      <c r="P54" s="12">
        <v>17.512525187000001</v>
      </c>
      <c r="Q54" s="12">
        <v>6.7699833939999996</v>
      </c>
      <c r="R54" s="12">
        <v>6.2293928589999998</v>
      </c>
      <c r="S54" s="12">
        <v>438.79240966109899</v>
      </c>
      <c r="T54" s="12" t="s">
        <v>333</v>
      </c>
      <c r="U54" t="s">
        <v>469</v>
      </c>
      <c r="V54" s="12"/>
      <c r="W54" s="12">
        <v>537.22352185253396</v>
      </c>
    </row>
    <row r="55" spans="1:23" x14ac:dyDescent="0.2">
      <c r="A55" s="12" t="s">
        <v>81</v>
      </c>
      <c r="B55" s="12"/>
      <c r="C55" s="12">
        <v>9</v>
      </c>
      <c r="D55" s="12">
        <v>5</v>
      </c>
      <c r="E55" s="12">
        <v>3</v>
      </c>
      <c r="F55" s="12">
        <v>35.391221046447697</v>
      </c>
      <c r="G55" s="12">
        <v>9.1875219345092702</v>
      </c>
      <c r="H55" s="12">
        <v>22.450346946716301</v>
      </c>
      <c r="I55" s="12">
        <v>406.37621964697797</v>
      </c>
      <c r="K55" t="s">
        <v>469</v>
      </c>
      <c r="M55" s="12">
        <v>29.341276884078901</v>
      </c>
      <c r="N55" s="12">
        <v>5.6410242359999998</v>
      </c>
      <c r="O55" s="12">
        <v>23.700252648078902</v>
      </c>
      <c r="P55" s="12">
        <v>17.353498566999999</v>
      </c>
      <c r="Q55" s="12">
        <v>2.9450219070000001</v>
      </c>
      <c r="R55" s="12">
        <v>7.6241560079999999</v>
      </c>
      <c r="S55" s="12">
        <v>406.37621964697797</v>
      </c>
      <c r="T55" s="12" t="s">
        <v>333</v>
      </c>
      <c r="U55" t="s">
        <v>469</v>
      </c>
      <c r="V55" s="12"/>
      <c r="W55" s="12">
        <v>493.61191673609801</v>
      </c>
    </row>
    <row r="56" spans="1:23" x14ac:dyDescent="0.2">
      <c r="A56" s="12" t="s">
        <v>84</v>
      </c>
      <c r="B56" s="12"/>
      <c r="C56" s="12">
        <v>9</v>
      </c>
      <c r="D56" s="12">
        <v>5</v>
      </c>
      <c r="E56" s="12">
        <v>3</v>
      </c>
      <c r="F56" s="12">
        <v>95.409912824630695</v>
      </c>
      <c r="G56" s="12">
        <v>9.2160630226135201</v>
      </c>
      <c r="H56" s="12">
        <v>82.428690910339299</v>
      </c>
      <c r="I56" s="12">
        <v>417.95489515321998</v>
      </c>
      <c r="K56" t="s">
        <v>469</v>
      </c>
      <c r="M56" s="12">
        <v>35.433838129043501</v>
      </c>
      <c r="N56" s="12">
        <v>5.5282765349999998</v>
      </c>
      <c r="O56" s="12">
        <v>29.905561594043501</v>
      </c>
      <c r="P56" s="12">
        <v>16.907284255</v>
      </c>
      <c r="Q56" s="12">
        <v>2.7126653479999998</v>
      </c>
      <c r="R56" s="12">
        <v>14.367452745</v>
      </c>
      <c r="S56" s="12">
        <v>417.95489515321998</v>
      </c>
      <c r="T56" s="12" t="s">
        <v>333</v>
      </c>
      <c r="U56" t="s">
        <v>469</v>
      </c>
      <c r="V56" s="12"/>
      <c r="W56" s="12">
        <v>498.475174325186</v>
      </c>
    </row>
    <row r="57" spans="1:23" x14ac:dyDescent="0.2">
      <c r="A57" s="12" t="s">
        <v>87</v>
      </c>
      <c r="B57" s="12"/>
      <c r="C57" s="12">
        <v>9</v>
      </c>
      <c r="D57" s="12">
        <v>5</v>
      </c>
      <c r="E57" s="12">
        <v>3</v>
      </c>
      <c r="F57" s="12">
        <v>20.8831739425659</v>
      </c>
      <c r="G57" s="12">
        <v>9.2826318740844709</v>
      </c>
      <c r="H57" s="12">
        <v>7.8464210033416704</v>
      </c>
      <c r="I57" s="12">
        <v>362.090963027469</v>
      </c>
      <c r="K57" t="s">
        <v>469</v>
      </c>
      <c r="M57" s="12">
        <v>32.357666969299302</v>
      </c>
      <c r="N57" s="12">
        <v>5.8286291559999999</v>
      </c>
      <c r="O57" s="12">
        <v>26.529037813299301</v>
      </c>
      <c r="P57" s="12">
        <v>18.275676082</v>
      </c>
      <c r="Q57" s="12">
        <v>2.7617453150000002</v>
      </c>
      <c r="R57" s="12">
        <v>9.8246669040000008</v>
      </c>
      <c r="S57" s="12">
        <v>362.090963027469</v>
      </c>
      <c r="T57" s="12" t="s">
        <v>333</v>
      </c>
      <c r="U57" t="s">
        <v>469</v>
      </c>
      <c r="V57" s="12"/>
      <c r="W57" s="12">
        <v>449.83616548721199</v>
      </c>
    </row>
    <row r="58" spans="1:23" x14ac:dyDescent="0.2">
      <c r="A58" s="12" t="s">
        <v>90</v>
      </c>
      <c r="B58" s="12"/>
      <c r="C58" s="12">
        <v>9</v>
      </c>
      <c r="D58" s="12">
        <v>5</v>
      </c>
      <c r="E58" s="12">
        <v>3</v>
      </c>
      <c r="F58" s="12">
        <v>34.801653146743703</v>
      </c>
      <c r="G58" s="12">
        <v>8.7517590522766096</v>
      </c>
      <c r="H58" s="12">
        <v>22.495249032974201</v>
      </c>
      <c r="I58" s="12">
        <v>359.79859533424201</v>
      </c>
      <c r="K58" t="s">
        <v>469</v>
      </c>
      <c r="M58" s="12">
        <v>31.257518053054799</v>
      </c>
      <c r="N58" s="12">
        <v>6.627501358</v>
      </c>
      <c r="O58" s="12">
        <v>24.630016695054799</v>
      </c>
      <c r="P58" s="12">
        <v>18.426409872000001</v>
      </c>
      <c r="Q58" s="12">
        <v>3.1056930120000001</v>
      </c>
      <c r="R58" s="12">
        <v>8.2183468239999993</v>
      </c>
      <c r="S58" s="12">
        <v>360.86227436383598</v>
      </c>
      <c r="T58" s="12" t="s">
        <v>333</v>
      </c>
      <c r="U58" t="s">
        <v>469</v>
      </c>
      <c r="V58" s="12"/>
      <c r="W58" s="12">
        <v>420.49960298206298</v>
      </c>
    </row>
    <row r="59" spans="1:23" x14ac:dyDescent="0.2">
      <c r="A59" s="12" t="s">
        <v>93</v>
      </c>
      <c r="B59" s="12"/>
      <c r="C59" s="12">
        <v>9</v>
      </c>
      <c r="D59" s="12">
        <v>5</v>
      </c>
      <c r="E59" s="12">
        <v>3</v>
      </c>
      <c r="F59" s="12">
        <v>40.285014152526799</v>
      </c>
      <c r="G59" s="12">
        <v>9.1895730495452792</v>
      </c>
      <c r="H59" s="12">
        <v>27.340074062347401</v>
      </c>
      <c r="I59" s="12">
        <v>426.947268663616</v>
      </c>
      <c r="K59" t="s">
        <v>469</v>
      </c>
      <c r="M59" s="12">
        <v>27.6905500888824</v>
      </c>
      <c r="N59" s="12">
        <v>5.4988596940000001</v>
      </c>
      <c r="O59" s="12">
        <v>22.1916903948824</v>
      </c>
      <c r="P59" s="12">
        <v>17.229834349000001</v>
      </c>
      <c r="Q59" s="12">
        <v>2.6274340239999998</v>
      </c>
      <c r="R59" s="12">
        <v>6.4260439209999998</v>
      </c>
      <c r="S59" s="12">
        <v>426.947268663616</v>
      </c>
      <c r="T59" s="12" t="s">
        <v>333</v>
      </c>
      <c r="U59" t="s">
        <v>469</v>
      </c>
      <c r="V59" s="12"/>
      <c r="W59" s="12">
        <v>527.06178437410097</v>
      </c>
    </row>
    <row r="60" spans="1:23" x14ac:dyDescent="0.2">
      <c r="A60" s="12" t="s">
        <v>96</v>
      </c>
      <c r="B60" s="12"/>
      <c r="C60" s="12">
        <v>9</v>
      </c>
      <c r="D60" s="12">
        <v>5</v>
      </c>
      <c r="E60" s="12">
        <v>3</v>
      </c>
      <c r="F60" s="12">
        <v>17.801139831542901</v>
      </c>
      <c r="G60" s="12">
        <v>9.1261918544769198</v>
      </c>
      <c r="H60" s="12">
        <v>4.9347882270812899</v>
      </c>
      <c r="I60" s="12">
        <v>409.85191654430702</v>
      </c>
      <c r="K60" t="s">
        <v>469</v>
      </c>
      <c r="M60" s="12">
        <v>30.572288990020699</v>
      </c>
      <c r="N60" s="12">
        <v>5.5541249749999997</v>
      </c>
      <c r="O60" s="12">
        <v>25.018164015020702</v>
      </c>
      <c r="P60" s="12">
        <v>17.179820283000002</v>
      </c>
      <c r="Q60" s="12">
        <v>6.273359664</v>
      </c>
      <c r="R60" s="12">
        <v>5.6929895540000004</v>
      </c>
      <c r="S60" s="12">
        <v>409.85191654430702</v>
      </c>
      <c r="T60" s="12" t="s">
        <v>333</v>
      </c>
      <c r="U60" t="s">
        <v>469</v>
      </c>
      <c r="V60" s="12"/>
      <c r="W60" s="12">
        <v>486.66154333922498</v>
      </c>
    </row>
    <row r="61" spans="1:23" x14ac:dyDescent="0.2">
      <c r="A61" s="12" t="s">
        <v>99</v>
      </c>
      <c r="B61" s="12"/>
      <c r="C61" s="12">
        <v>9</v>
      </c>
      <c r="D61" s="12">
        <v>5</v>
      </c>
      <c r="E61" s="12">
        <v>3</v>
      </c>
      <c r="F61" s="12">
        <v>31.469441890716499</v>
      </c>
      <c r="G61" s="12">
        <v>9.1993567943572998</v>
      </c>
      <c r="H61" s="12">
        <v>18.517017126083299</v>
      </c>
      <c r="I61" s="12">
        <v>421.83386504963801</v>
      </c>
      <c r="K61" t="s">
        <v>469</v>
      </c>
      <c r="M61" s="12">
        <v>30.349000930786101</v>
      </c>
      <c r="N61" s="12">
        <v>5.521951981</v>
      </c>
      <c r="O61" s="12">
        <v>24.8270489497861</v>
      </c>
      <c r="P61" s="12">
        <v>17.041331595999999</v>
      </c>
      <c r="Q61" s="12">
        <v>2.6808599499999999</v>
      </c>
      <c r="R61" s="12">
        <v>9.2164688879999996</v>
      </c>
      <c r="S61" s="12">
        <v>421.83386504963801</v>
      </c>
      <c r="T61" s="12" t="s">
        <v>333</v>
      </c>
      <c r="U61" t="s">
        <v>469</v>
      </c>
      <c r="V61" s="12"/>
      <c r="W61" s="12">
        <v>513.23138250740305</v>
      </c>
    </row>
    <row r="62" spans="1:23" x14ac:dyDescent="0.2">
      <c r="A62" s="12" t="s">
        <v>102</v>
      </c>
      <c r="B62" s="12"/>
      <c r="C62" s="12">
        <v>9</v>
      </c>
      <c r="D62" s="12">
        <v>5</v>
      </c>
      <c r="E62" s="12">
        <v>3</v>
      </c>
      <c r="F62" s="12">
        <v>17.730736017227098</v>
      </c>
      <c r="G62" s="12">
        <v>9.1718208789825404</v>
      </c>
      <c r="H62" s="12">
        <v>4.8212120532989502</v>
      </c>
      <c r="I62" s="12">
        <v>359.16648182251703</v>
      </c>
      <c r="K62" t="s">
        <v>469</v>
      </c>
      <c r="M62" s="12">
        <v>32.956445932388299</v>
      </c>
      <c r="N62" s="12">
        <v>5.5045054870000003</v>
      </c>
      <c r="O62" s="12">
        <v>27.451940445388299</v>
      </c>
      <c r="P62" s="12">
        <v>17.467060821</v>
      </c>
      <c r="Q62" s="12">
        <v>2.685025182</v>
      </c>
      <c r="R62" s="12">
        <v>11.395027047999999</v>
      </c>
      <c r="S62" s="12">
        <v>368.25972430336702</v>
      </c>
      <c r="T62" s="12" t="s">
        <v>333</v>
      </c>
      <c r="U62" t="s">
        <v>469</v>
      </c>
      <c r="V62" s="12"/>
      <c r="W62" s="12">
        <v>441.86722580548701</v>
      </c>
    </row>
    <row r="63" spans="1:23" x14ac:dyDescent="0.2">
      <c r="A63" s="12" t="s">
        <v>455</v>
      </c>
      <c r="B63" s="12"/>
      <c r="C63" s="12">
        <v>9</v>
      </c>
      <c r="D63" s="12">
        <v>5</v>
      </c>
      <c r="E63" s="12">
        <v>3</v>
      </c>
      <c r="F63" s="12">
        <v>17.3026649951934</v>
      </c>
      <c r="G63">
        <v>8.6037130355834908</v>
      </c>
      <c r="H63">
        <v>5.1173541545867902</v>
      </c>
      <c r="I63">
        <v>356.33508211584098</v>
      </c>
      <c r="J63" s="45"/>
      <c r="K63" s="46" t="s">
        <v>469</v>
      </c>
      <c r="L63" s="45"/>
      <c r="M63" s="12">
        <v>29.699470043182298</v>
      </c>
      <c r="N63" s="12">
        <v>5.5208375609999996</v>
      </c>
      <c r="O63" s="12">
        <v>24.178632482182302</v>
      </c>
      <c r="P63" s="12">
        <v>17.006112909999999</v>
      </c>
      <c r="Q63" s="12">
        <v>2.8081390690000001</v>
      </c>
      <c r="R63" s="12">
        <v>8.4698086949999993</v>
      </c>
      <c r="S63" s="12">
        <v>356.33508211584098</v>
      </c>
      <c r="T63" s="12"/>
      <c r="V63" s="12"/>
      <c r="W63" s="12">
        <v>463.26899313886298</v>
      </c>
    </row>
    <row r="64" spans="1:23" s="33" customFormat="1" x14ac:dyDescent="0.2">
      <c r="A64" s="35"/>
      <c r="B64" s="35"/>
      <c r="C64" s="35">
        <v>9</v>
      </c>
      <c r="D64" s="35">
        <v>5</v>
      </c>
      <c r="E64" s="35"/>
      <c r="F64" s="33">
        <f>AVERAGE(F44:F63)</f>
        <v>31.77539724111552</v>
      </c>
      <c r="G64" s="33">
        <f>AVERAGE(G44:G63)</f>
        <v>8.9379592657089226</v>
      </c>
      <c r="H64" s="33">
        <f>AVERAGE(H44:H63)</f>
        <v>19.16647446155546</v>
      </c>
      <c r="I64" s="33">
        <f>AVERAGE(I44:I63)</f>
        <v>396.45502041244708</v>
      </c>
      <c r="M64" s="33">
        <f t="shared" ref="M64:S64" si="4">AVERAGE(M44:M63)</f>
        <v>29.867898488044688</v>
      </c>
      <c r="N64" s="33">
        <f t="shared" si="4"/>
        <v>5.6903225205499997</v>
      </c>
      <c r="O64" s="33">
        <f t="shared" si="4"/>
        <v>24.177575967494686</v>
      </c>
      <c r="P64" s="33">
        <f t="shared" si="4"/>
        <v>17.420180349050003</v>
      </c>
      <c r="Q64" s="33">
        <f t="shared" si="4"/>
        <v>3.4679497941499995</v>
      </c>
      <c r="R64" s="33">
        <f t="shared" si="4"/>
        <v>7.5429884870500006</v>
      </c>
      <c r="S64" s="33">
        <f t="shared" si="4"/>
        <v>396.96858554888092</v>
      </c>
      <c r="T64" s="35"/>
      <c r="V64" s="35"/>
      <c r="W64" s="35">
        <f>AVERAGE(W44:W63)</f>
        <v>479.59180906933716</v>
      </c>
    </row>
    <row r="65" spans="1:23" s="33" customFormat="1" x14ac:dyDescent="0.2">
      <c r="A65" s="33">
        <f>COUNTA(A2:A63)</f>
        <v>60</v>
      </c>
      <c r="F65" s="33">
        <f>AVERAGE(F2:F21,F23:F42,F44:F63)</f>
        <v>21.27848854462302</v>
      </c>
      <c r="G65" s="33">
        <f>AVERAGE(G2:G21,G23:G42,G44:G63)</f>
        <v>8.9425987601280212</v>
      </c>
      <c r="H65" s="33">
        <f>AVERAGE(H2:H21,H23:H42,H44:H63)</f>
        <v>8.6706860264142218</v>
      </c>
      <c r="I65" s="33">
        <f t="shared" ref="I65" si="5">AVERAGE(I2:I21,I23:I42,I44:I63)</f>
        <v>380.07391644195815</v>
      </c>
      <c r="M65" s="33">
        <f>AVERAGE(M2:M21,M23:M42,M44:M63)</f>
        <v>24.795481014251671</v>
      </c>
      <c r="N65" s="33">
        <f t="shared" ref="N65:S65" si="6">AVERAGE(N2:N21,N23:N42,N44:N63)</f>
        <v>5.8515126066166641</v>
      </c>
      <c r="O65" s="33">
        <f t="shared" si="6"/>
        <v>18.943968407634994</v>
      </c>
      <c r="P65" s="33">
        <f t="shared" si="6"/>
        <v>13.776502611550001</v>
      </c>
      <c r="Q65" s="33">
        <f t="shared" si="6"/>
        <v>3.3170313754999983</v>
      </c>
      <c r="R65" s="33">
        <f t="shared" si="6"/>
        <v>6.2848668635000013</v>
      </c>
      <c r="S65" s="33">
        <f t="shared" si="6"/>
        <v>380.26090568552178</v>
      </c>
      <c r="W65" s="33">
        <f>AVERAGE(W44:W63,W23:W42,W2:W21)</f>
        <v>433.60296448084154</v>
      </c>
    </row>
    <row r="66" spans="1:23" x14ac:dyDescent="0.2">
      <c r="A66" s="11" t="s">
        <v>105</v>
      </c>
      <c r="B66" s="11">
        <v>20</v>
      </c>
      <c r="C66" s="11">
        <v>4</v>
      </c>
      <c r="D66" s="11">
        <v>2</v>
      </c>
      <c r="E66" s="11">
        <v>6</v>
      </c>
      <c r="F66" s="11">
        <v>13.2740221023559</v>
      </c>
      <c r="G66" s="11">
        <v>8.4935381412506104</v>
      </c>
      <c r="H66" s="11">
        <v>1.2191588878631501</v>
      </c>
      <c r="I66" s="11">
        <v>483.371977926461</v>
      </c>
      <c r="J66" s="11" t="s">
        <v>333</v>
      </c>
      <c r="K66" t="s">
        <v>469</v>
      </c>
      <c r="M66" s="11">
        <v>21.700430870056099</v>
      </c>
      <c r="N66" s="11">
        <v>5.5221211690000001</v>
      </c>
      <c r="O66" s="11">
        <v>16.178309701056101</v>
      </c>
      <c r="P66" s="11">
        <v>11.293457716000001</v>
      </c>
      <c r="Q66" s="11">
        <v>2.6105851879999999</v>
      </c>
      <c r="R66" s="11">
        <v>6.4050963019999996</v>
      </c>
      <c r="S66" s="11">
        <v>483.371977926461</v>
      </c>
      <c r="T66" s="11" t="s">
        <v>333</v>
      </c>
      <c r="W66" s="11">
        <v>529.79363484937005</v>
      </c>
    </row>
    <row r="67" spans="1:23" x14ac:dyDescent="0.2">
      <c r="A67" s="12" t="s">
        <v>106</v>
      </c>
      <c r="B67" s="12">
        <v>20</v>
      </c>
      <c r="C67" s="12">
        <v>4</v>
      </c>
      <c r="D67" s="12">
        <v>2</v>
      </c>
      <c r="E67" s="12">
        <v>5</v>
      </c>
      <c r="F67" s="12">
        <v>17.0877201557159</v>
      </c>
      <c r="G67" s="12">
        <v>8.42775201797485</v>
      </c>
      <c r="H67" s="12">
        <v>5.17317795753479</v>
      </c>
      <c r="I67" s="12">
        <v>463.94814584233302</v>
      </c>
      <c r="J67" s="12" t="s">
        <v>333</v>
      </c>
      <c r="K67" t="s">
        <v>469</v>
      </c>
      <c r="M67" s="12">
        <v>23.176276206970201</v>
      </c>
      <c r="N67" s="12">
        <v>5.6067126309999997</v>
      </c>
      <c r="O67" s="12">
        <v>17.5695635759702</v>
      </c>
      <c r="P67" s="12">
        <v>11.427852382999999</v>
      </c>
      <c r="Q67" s="12">
        <v>3.1765081589999999</v>
      </c>
      <c r="R67" s="12">
        <v>7.1747292299999996</v>
      </c>
      <c r="S67" s="12">
        <v>463.94814584233302</v>
      </c>
      <c r="T67" s="12" t="s">
        <v>333</v>
      </c>
      <c r="W67" s="12">
        <v>430.014451084585</v>
      </c>
    </row>
    <row r="68" spans="1:23" x14ac:dyDescent="0.2">
      <c r="A68" s="12" t="s">
        <v>107</v>
      </c>
      <c r="B68" s="12">
        <v>20</v>
      </c>
      <c r="C68" s="12">
        <v>4</v>
      </c>
      <c r="D68" s="12">
        <v>2</v>
      </c>
      <c r="E68" s="12">
        <v>5</v>
      </c>
      <c r="F68" s="12">
        <v>13.5774149894714</v>
      </c>
      <c r="G68" s="12">
        <v>8.4320979118347097</v>
      </c>
      <c r="H68" s="12">
        <v>1.6574971675872801</v>
      </c>
      <c r="I68" s="12">
        <v>500.04344120821298</v>
      </c>
      <c r="J68" s="12" t="s">
        <v>333</v>
      </c>
      <c r="K68" t="s">
        <v>469</v>
      </c>
      <c r="M68" s="12">
        <v>16.127914905548</v>
      </c>
      <c r="N68" s="12">
        <v>5.604809436</v>
      </c>
      <c r="O68" s="12">
        <v>10.523105469548</v>
      </c>
      <c r="P68" s="12">
        <v>11.437089282000001</v>
      </c>
      <c r="Q68" s="12">
        <v>3.451975628</v>
      </c>
      <c r="R68" s="12">
        <v>0</v>
      </c>
      <c r="S68" s="12">
        <v>500.04344120821298</v>
      </c>
      <c r="T68" s="12" t="s">
        <v>333</v>
      </c>
      <c r="W68" s="12">
        <v>562.69481122419404</v>
      </c>
    </row>
    <row r="69" spans="1:23" x14ac:dyDescent="0.2">
      <c r="A69" s="12" t="s">
        <v>108</v>
      </c>
      <c r="B69" s="12">
        <v>20</v>
      </c>
      <c r="C69" s="12">
        <v>4</v>
      </c>
      <c r="D69" s="12">
        <v>2</v>
      </c>
      <c r="E69" s="12">
        <v>5</v>
      </c>
      <c r="F69" s="12">
        <v>12.9762840270996</v>
      </c>
      <c r="G69" s="12">
        <v>8.46435499191284</v>
      </c>
      <c r="H69" s="12">
        <v>1.0202429294586099</v>
      </c>
      <c r="I69" s="12">
        <v>455.73795675228303</v>
      </c>
      <c r="J69" s="12" t="s">
        <v>333</v>
      </c>
      <c r="K69" t="s">
        <v>469</v>
      </c>
      <c r="M69" s="12">
        <v>16.366316080093299</v>
      </c>
      <c r="N69" s="12">
        <v>5.2064277910000003</v>
      </c>
      <c r="O69" s="12">
        <v>11.159888289093301</v>
      </c>
      <c r="P69" s="12">
        <v>11.402885575999999</v>
      </c>
      <c r="Q69" s="12">
        <v>3.7455148330000001</v>
      </c>
      <c r="R69" s="12">
        <v>0</v>
      </c>
      <c r="S69" s="12">
        <v>455.73795675228303</v>
      </c>
      <c r="T69" s="12" t="s">
        <v>333</v>
      </c>
      <c r="W69" s="12">
        <v>505.67473909184298</v>
      </c>
    </row>
    <row r="70" spans="1:23" x14ac:dyDescent="0.2">
      <c r="A70" s="12" t="s">
        <v>109</v>
      </c>
      <c r="B70" s="12">
        <v>20</v>
      </c>
      <c r="C70" s="12">
        <v>4</v>
      </c>
      <c r="D70" s="12">
        <v>2</v>
      </c>
      <c r="E70" s="12">
        <v>5</v>
      </c>
      <c r="F70" s="12">
        <v>13.026561021804801</v>
      </c>
      <c r="G70" s="12">
        <v>8.4379351139068604</v>
      </c>
      <c r="H70" s="12">
        <v>1.09415006637573</v>
      </c>
      <c r="I70" s="12">
        <v>481.22210814463699</v>
      </c>
      <c r="J70" s="12" t="s">
        <v>333</v>
      </c>
      <c r="K70" t="s">
        <v>469</v>
      </c>
      <c r="M70" s="12">
        <v>21.885097026824901</v>
      </c>
      <c r="N70" s="12">
        <v>5.5370712180000003</v>
      </c>
      <c r="O70" s="12">
        <v>16.3480258088249</v>
      </c>
      <c r="P70" s="12">
        <v>11.318740207999999</v>
      </c>
      <c r="Q70" s="12">
        <v>2.9441909900000001</v>
      </c>
      <c r="R70" s="12">
        <v>6.2122246670000001</v>
      </c>
      <c r="S70" s="12">
        <v>481.22210814463699</v>
      </c>
      <c r="T70" s="12" t="s">
        <v>333</v>
      </c>
      <c r="W70" s="12">
        <v>515.73711658018794</v>
      </c>
    </row>
    <row r="71" spans="1:23" x14ac:dyDescent="0.2">
      <c r="A71" s="12" t="s">
        <v>110</v>
      </c>
      <c r="B71" s="12">
        <v>20</v>
      </c>
      <c r="C71" s="12">
        <v>4</v>
      </c>
      <c r="D71" s="12">
        <v>2</v>
      </c>
      <c r="E71" s="12">
        <v>5</v>
      </c>
      <c r="F71" s="12">
        <v>18.843596935272199</v>
      </c>
      <c r="G71" s="12">
        <v>8.5897729396819997</v>
      </c>
      <c r="H71" s="12">
        <v>6.7064149379730198</v>
      </c>
      <c r="I71" s="12">
        <v>459.29421764403202</v>
      </c>
      <c r="J71" s="12" t="s">
        <v>333</v>
      </c>
      <c r="K71" t="s">
        <v>469</v>
      </c>
      <c r="M71" s="12">
        <v>24.802505016326901</v>
      </c>
      <c r="N71" s="12">
        <v>5.745471813</v>
      </c>
      <c r="O71" s="12">
        <v>19.057033203326899</v>
      </c>
      <c r="P71" s="12">
        <v>11.749340865000001</v>
      </c>
      <c r="Q71" s="12">
        <v>4.2464228830000001</v>
      </c>
      <c r="R71" s="12">
        <v>7.3382645469999996</v>
      </c>
      <c r="S71" s="12">
        <v>459.29421764403202</v>
      </c>
      <c r="T71" s="12" t="s">
        <v>333</v>
      </c>
      <c r="W71" s="12">
        <v>624.38629345246204</v>
      </c>
    </row>
    <row r="72" spans="1:23" x14ac:dyDescent="0.2">
      <c r="A72" s="12" t="s">
        <v>111</v>
      </c>
      <c r="B72" s="12">
        <v>20</v>
      </c>
      <c r="C72" s="12">
        <v>4</v>
      </c>
      <c r="D72" s="12">
        <v>2</v>
      </c>
      <c r="E72" s="12">
        <v>4</v>
      </c>
      <c r="F72" s="12">
        <v>18.469086170196501</v>
      </c>
      <c r="G72" s="12">
        <v>8.46703600883483</v>
      </c>
      <c r="H72" s="12">
        <v>6.5098030567169101</v>
      </c>
      <c r="I72" s="12">
        <v>455.54919134365099</v>
      </c>
      <c r="J72" s="12" t="s">
        <v>333</v>
      </c>
      <c r="K72" t="s">
        <v>469</v>
      </c>
      <c r="M72" s="12">
        <v>23.142356872558501</v>
      </c>
      <c r="N72" s="12">
        <v>5.7454615779999996</v>
      </c>
      <c r="O72" s="12">
        <v>17.396895294558501</v>
      </c>
      <c r="P72" s="12">
        <v>11.710316341</v>
      </c>
      <c r="Q72" s="12">
        <v>2.9632654589999898</v>
      </c>
      <c r="R72" s="12">
        <v>7.0148144480000001</v>
      </c>
      <c r="S72" s="12">
        <v>455.54919134320699</v>
      </c>
      <c r="T72" s="12" t="s">
        <v>333</v>
      </c>
      <c r="W72" s="12">
        <v>528.610586263154</v>
      </c>
    </row>
    <row r="73" spans="1:23" x14ac:dyDescent="0.2">
      <c r="A73" s="12" t="s">
        <v>112</v>
      </c>
      <c r="B73" s="12">
        <v>20</v>
      </c>
      <c r="C73" s="12">
        <v>4</v>
      </c>
      <c r="D73" s="12">
        <v>2</v>
      </c>
      <c r="E73" s="12">
        <v>5</v>
      </c>
      <c r="F73" s="12">
        <v>14.1143941879272</v>
      </c>
      <c r="G73" s="12">
        <v>8.5667660236358607</v>
      </c>
      <c r="H73" s="12">
        <v>2.00640797615051</v>
      </c>
      <c r="I73" s="12">
        <v>476.71219644469801</v>
      </c>
      <c r="J73" s="12" t="s">
        <v>333</v>
      </c>
      <c r="K73" t="s">
        <v>469</v>
      </c>
      <c r="M73" s="12">
        <v>24.692981004714898</v>
      </c>
      <c r="N73" s="12">
        <v>5.6328544039999997</v>
      </c>
      <c r="O73" s="12">
        <v>19.060126600714899</v>
      </c>
      <c r="P73" s="12">
        <v>11.415436667</v>
      </c>
      <c r="Q73" s="12">
        <v>4.24125059899999</v>
      </c>
      <c r="R73" s="12">
        <v>7.6399551519999997</v>
      </c>
      <c r="S73" s="12">
        <v>476.71219644469801</v>
      </c>
      <c r="T73" s="12" t="s">
        <v>333</v>
      </c>
      <c r="W73" s="12">
        <v>449.40510576099803</v>
      </c>
    </row>
    <row r="74" spans="1:23" x14ac:dyDescent="0.2">
      <c r="A74" s="12" t="s">
        <v>113</v>
      </c>
      <c r="B74" s="12">
        <v>20</v>
      </c>
      <c r="C74" s="12">
        <v>4</v>
      </c>
      <c r="D74" s="12">
        <v>2</v>
      </c>
      <c r="E74" s="12">
        <v>5</v>
      </c>
      <c r="F74" s="12">
        <v>19.863201856613099</v>
      </c>
      <c r="G74" s="12">
        <v>8.4783258438110298</v>
      </c>
      <c r="H74" s="12">
        <v>7.8893141746520996</v>
      </c>
      <c r="I74" s="12">
        <v>457.77353110464998</v>
      </c>
      <c r="J74" s="12" t="s">
        <v>333</v>
      </c>
      <c r="K74" t="s">
        <v>469</v>
      </c>
      <c r="M74" s="12">
        <v>23.363503932952799</v>
      </c>
      <c r="N74" s="12">
        <v>5.528661273</v>
      </c>
      <c r="O74" s="12">
        <v>17.834842659952798</v>
      </c>
      <c r="P74" s="12">
        <v>11.306947665999999</v>
      </c>
      <c r="Q74" s="12">
        <v>3.0343655919999999</v>
      </c>
      <c r="R74" s="12">
        <v>7.6163475780000001</v>
      </c>
      <c r="S74" s="12">
        <v>457.77353110464998</v>
      </c>
      <c r="T74" s="12" t="s">
        <v>333</v>
      </c>
      <c r="W74" s="12">
        <v>573.17133691555102</v>
      </c>
    </row>
    <row r="75" spans="1:23" x14ac:dyDescent="0.2">
      <c r="A75" s="12" t="s">
        <v>114</v>
      </c>
      <c r="B75" s="12">
        <v>20</v>
      </c>
      <c r="C75" s="12">
        <v>4</v>
      </c>
      <c r="D75" s="12">
        <v>2</v>
      </c>
      <c r="E75" s="12">
        <v>4</v>
      </c>
      <c r="F75" s="12">
        <v>20.994803190231298</v>
      </c>
      <c r="G75" s="12">
        <v>8.4480710029601997</v>
      </c>
      <c r="H75" s="12">
        <v>9.0449519157409597</v>
      </c>
      <c r="I75" s="12">
        <v>466.07044779807399</v>
      </c>
      <c r="J75" s="12" t="s">
        <v>333</v>
      </c>
      <c r="K75" t="s">
        <v>469</v>
      </c>
      <c r="M75" s="12">
        <v>23.386853933334301</v>
      </c>
      <c r="N75" s="12">
        <v>5.5390683509999903</v>
      </c>
      <c r="O75" s="12">
        <v>17.8477855823343</v>
      </c>
      <c r="P75" s="12">
        <v>11.316140168</v>
      </c>
      <c r="Q75" s="12">
        <v>4.1566358349999897</v>
      </c>
      <c r="R75" s="12">
        <v>6.5162811889999999</v>
      </c>
      <c r="S75" s="12">
        <v>466.07044779794597</v>
      </c>
      <c r="T75" s="12" t="s">
        <v>333</v>
      </c>
      <c r="W75" s="12">
        <v>487.43457868793399</v>
      </c>
    </row>
    <row r="76" spans="1:23" x14ac:dyDescent="0.2">
      <c r="A76" s="12" t="s">
        <v>115</v>
      </c>
      <c r="B76" s="12">
        <v>20</v>
      </c>
      <c r="C76" s="12">
        <v>4</v>
      </c>
      <c r="D76" s="12">
        <v>2</v>
      </c>
      <c r="E76" s="12">
        <v>4</v>
      </c>
      <c r="F76" s="12">
        <v>28.632325172424299</v>
      </c>
      <c r="G76" s="12">
        <v>8.6121971607208199</v>
      </c>
      <c r="H76" s="12">
        <v>16.4824059009552</v>
      </c>
      <c r="I76" s="12">
        <v>431.48225634199798</v>
      </c>
      <c r="J76" s="12" t="s">
        <v>333</v>
      </c>
      <c r="K76" t="s">
        <v>469</v>
      </c>
      <c r="M76" s="12">
        <v>40.943871974944997</v>
      </c>
      <c r="N76" s="12">
        <v>5.7445319479999997</v>
      </c>
      <c r="O76" s="12">
        <v>35.199340026945002</v>
      </c>
      <c r="P76" s="12">
        <v>11.702112186000001</v>
      </c>
      <c r="Q76" s="12">
        <v>4.08679785</v>
      </c>
      <c r="R76" s="12">
        <v>23.691649754</v>
      </c>
      <c r="S76" s="12">
        <v>431.48225634199798</v>
      </c>
      <c r="T76" s="12" t="s">
        <v>333</v>
      </c>
      <c r="W76" s="12">
        <v>434.60466034477702</v>
      </c>
    </row>
    <row r="77" spans="1:23" x14ac:dyDescent="0.2">
      <c r="A77" s="12" t="s">
        <v>117</v>
      </c>
      <c r="B77" s="12">
        <v>20</v>
      </c>
      <c r="C77" s="12">
        <v>4</v>
      </c>
      <c r="D77" s="12">
        <v>2</v>
      </c>
      <c r="E77" s="12">
        <v>5</v>
      </c>
      <c r="F77" s="12">
        <v>38.361551046371403</v>
      </c>
      <c r="G77" s="12">
        <v>8.4746189117431605</v>
      </c>
      <c r="H77" s="12">
        <v>26.3947319984436</v>
      </c>
      <c r="I77" s="12">
        <v>448.43710808751598</v>
      </c>
      <c r="J77" s="12" t="s">
        <v>333</v>
      </c>
      <c r="K77" t="s">
        <v>469</v>
      </c>
      <c r="M77" s="12">
        <v>38.6585981845855</v>
      </c>
      <c r="N77" s="12">
        <v>5.5295430489999999</v>
      </c>
      <c r="O77" s="12">
        <v>33.129055135585503</v>
      </c>
      <c r="P77" s="12">
        <v>11.304253822</v>
      </c>
      <c r="Q77" s="12">
        <v>8.3537457289999999</v>
      </c>
      <c r="R77" s="12">
        <v>17.602874452999998</v>
      </c>
      <c r="S77" s="12">
        <v>448.43710808751598</v>
      </c>
      <c r="T77" s="12" t="s">
        <v>333</v>
      </c>
      <c r="W77" s="12">
        <v>578.15420930712503</v>
      </c>
    </row>
    <row r="78" spans="1:23" x14ac:dyDescent="0.2">
      <c r="A78" s="12" t="s">
        <v>118</v>
      </c>
      <c r="B78" s="12">
        <v>20</v>
      </c>
      <c r="C78" s="12">
        <v>4</v>
      </c>
      <c r="D78" s="12">
        <v>2</v>
      </c>
      <c r="E78" s="12">
        <v>5</v>
      </c>
      <c r="F78" s="12">
        <v>21.113904953002901</v>
      </c>
      <c r="G78" s="12">
        <v>8.68908596038818</v>
      </c>
      <c r="H78" s="12">
        <v>8.8799731731414795</v>
      </c>
      <c r="I78" s="12">
        <v>456.76236795462597</v>
      </c>
      <c r="J78" s="12" t="s">
        <v>333</v>
      </c>
      <c r="K78" t="s">
        <v>469</v>
      </c>
      <c r="M78" s="12">
        <v>23.213251113891602</v>
      </c>
      <c r="N78" s="12">
        <v>5.5345908440000002</v>
      </c>
      <c r="O78" s="12">
        <v>17.678660269891601</v>
      </c>
      <c r="P78" s="12">
        <v>11.297214821000001</v>
      </c>
      <c r="Q78" s="12">
        <v>4.6345483559999998</v>
      </c>
      <c r="R78" s="12">
        <v>5.8895100449999997</v>
      </c>
      <c r="S78" s="12">
        <v>456.76236795462597</v>
      </c>
      <c r="T78" s="12" t="s">
        <v>333</v>
      </c>
      <c r="W78" s="12">
        <v>533.34281978119702</v>
      </c>
    </row>
    <row r="79" spans="1:23" x14ac:dyDescent="0.2">
      <c r="A79" s="12" t="s">
        <v>119</v>
      </c>
      <c r="B79" s="12">
        <v>20</v>
      </c>
      <c r="C79" s="12">
        <v>4</v>
      </c>
      <c r="D79" s="12">
        <v>2</v>
      </c>
      <c r="E79" s="12">
        <v>5</v>
      </c>
      <c r="F79" s="12">
        <v>24.917977094650201</v>
      </c>
      <c r="G79" s="12">
        <v>8.5903379917144704</v>
      </c>
      <c r="H79" s="12">
        <v>12.814340114593501</v>
      </c>
      <c r="I79" s="12">
        <v>455.48315442211401</v>
      </c>
      <c r="J79" s="12" t="s">
        <v>333</v>
      </c>
      <c r="K79" t="s">
        <v>469</v>
      </c>
      <c r="M79" s="12">
        <v>22.9652178287506</v>
      </c>
      <c r="N79" s="12">
        <v>5.5131959930000001</v>
      </c>
      <c r="O79" s="12">
        <v>17.4520218357506</v>
      </c>
      <c r="P79" s="12">
        <v>11.263652556</v>
      </c>
      <c r="Q79" s="12">
        <v>2.8422762129999999</v>
      </c>
      <c r="R79" s="12">
        <v>7.4655608400000002</v>
      </c>
      <c r="S79" s="12">
        <v>455.48315442211401</v>
      </c>
      <c r="T79" s="12" t="s">
        <v>333</v>
      </c>
      <c r="W79" s="12">
        <v>361.769753413812</v>
      </c>
    </row>
    <row r="80" spans="1:23" x14ac:dyDescent="0.2">
      <c r="A80" s="12" t="s">
        <v>120</v>
      </c>
      <c r="B80" s="12">
        <v>20</v>
      </c>
      <c r="C80" s="12">
        <v>4</v>
      </c>
      <c r="D80" s="12">
        <v>2</v>
      </c>
      <c r="E80" s="12">
        <v>5</v>
      </c>
      <c r="F80" s="12">
        <v>33.0483429431915</v>
      </c>
      <c r="G80" s="12">
        <v>8.4754037857055593</v>
      </c>
      <c r="H80" s="12">
        <v>21.089253902435299</v>
      </c>
      <c r="I80" s="12">
        <v>464.87082707745998</v>
      </c>
      <c r="J80" s="12" t="s">
        <v>333</v>
      </c>
      <c r="K80" t="s">
        <v>469</v>
      </c>
      <c r="M80" s="12">
        <v>24.929756879806501</v>
      </c>
      <c r="N80" s="12">
        <v>5.7325166860000003</v>
      </c>
      <c r="O80" s="12">
        <v>19.1972401938065</v>
      </c>
      <c r="P80" s="12">
        <v>11.687098595</v>
      </c>
      <c r="Q80" s="12">
        <v>4.1451205350000002</v>
      </c>
      <c r="R80" s="12">
        <v>7.6488293000000001</v>
      </c>
      <c r="S80" s="12">
        <v>464.87082707745998</v>
      </c>
      <c r="T80" s="12" t="s">
        <v>333</v>
      </c>
      <c r="W80" s="12">
        <v>539.61740385428698</v>
      </c>
    </row>
    <row r="81" spans="1:23" x14ac:dyDescent="0.2">
      <c r="A81" s="12" t="s">
        <v>121</v>
      </c>
      <c r="B81" s="12">
        <v>20</v>
      </c>
      <c r="C81" s="12">
        <v>4</v>
      </c>
      <c r="D81" s="12">
        <v>2</v>
      </c>
      <c r="E81" s="12">
        <v>4</v>
      </c>
      <c r="F81" s="12">
        <v>12.945332050323399</v>
      </c>
      <c r="G81" s="12">
        <v>8.4511780738830495</v>
      </c>
      <c r="H81" s="12">
        <v>1.00038385391235</v>
      </c>
      <c r="I81" s="12">
        <v>437.12086378236398</v>
      </c>
      <c r="J81" s="12" t="s">
        <v>333</v>
      </c>
      <c r="K81" t="s">
        <v>469</v>
      </c>
      <c r="M81" s="12">
        <v>22.372442007064802</v>
      </c>
      <c r="N81" s="12">
        <v>5.5439118389999997</v>
      </c>
      <c r="O81" s="12">
        <v>16.828530168064798</v>
      </c>
      <c r="P81" s="12">
        <v>11.298369578999999</v>
      </c>
      <c r="Q81" s="12">
        <v>3.2609587439999999</v>
      </c>
      <c r="R81" s="12">
        <v>6.4166019099999998</v>
      </c>
      <c r="S81" s="12">
        <v>437.12086378236398</v>
      </c>
      <c r="T81" s="12" t="s">
        <v>333</v>
      </c>
      <c r="W81" s="12">
        <v>528.23646778282102</v>
      </c>
    </row>
    <row r="82" spans="1:23" x14ac:dyDescent="0.2">
      <c r="A82" s="12" t="s">
        <v>122</v>
      </c>
      <c r="B82" s="12">
        <v>20</v>
      </c>
      <c r="C82" s="12">
        <v>4</v>
      </c>
      <c r="D82" s="12">
        <v>2</v>
      </c>
      <c r="E82" s="12">
        <v>5</v>
      </c>
      <c r="F82" s="12">
        <v>15.2666528224945</v>
      </c>
      <c r="G82" s="12">
        <v>8.6335229873657209</v>
      </c>
      <c r="H82" s="12">
        <v>3.0826940536499001</v>
      </c>
      <c r="I82" s="12">
        <v>462.50242958947001</v>
      </c>
      <c r="J82" s="12" t="s">
        <v>333</v>
      </c>
      <c r="K82" t="s">
        <v>469</v>
      </c>
      <c r="M82" s="12">
        <v>22.609246015548699</v>
      </c>
      <c r="N82" s="12">
        <v>5.5314791830000001</v>
      </c>
      <c r="O82" s="12">
        <v>17.077766832548701</v>
      </c>
      <c r="P82" s="12">
        <v>11.292645879</v>
      </c>
      <c r="Q82" s="12">
        <v>2.9615412679999902</v>
      </c>
      <c r="R82" s="12">
        <v>6.9517157039999997</v>
      </c>
      <c r="S82" s="12">
        <v>462.50242958947001</v>
      </c>
      <c r="T82" s="12" t="s">
        <v>333</v>
      </c>
      <c r="W82" s="12">
        <v>429.91065615642299</v>
      </c>
    </row>
    <row r="83" spans="1:23" x14ac:dyDescent="0.2">
      <c r="A83" s="12" t="s">
        <v>123</v>
      </c>
      <c r="B83" s="12">
        <v>20</v>
      </c>
      <c r="C83" s="12">
        <v>4</v>
      </c>
      <c r="D83" s="12">
        <v>2</v>
      </c>
      <c r="E83" s="12">
        <v>5</v>
      </c>
      <c r="F83" s="12">
        <v>13.198263883590601</v>
      </c>
      <c r="G83" s="12">
        <v>8.4704170227050692</v>
      </c>
      <c r="H83" s="12">
        <v>1.2352371215820299</v>
      </c>
      <c r="I83" s="12">
        <v>477.56688756313099</v>
      </c>
      <c r="J83" s="12" t="s">
        <v>333</v>
      </c>
      <c r="K83" t="s">
        <v>469</v>
      </c>
      <c r="M83" s="12">
        <v>22.793911933898901</v>
      </c>
      <c r="N83" s="12">
        <v>5.5393902319999997</v>
      </c>
      <c r="O83" s="12">
        <v>17.254521701898899</v>
      </c>
      <c r="P83" s="12">
        <v>11.316052419</v>
      </c>
      <c r="Q83" s="12">
        <v>2.8965739379999902</v>
      </c>
      <c r="R83" s="12">
        <v>7.1797531379999997</v>
      </c>
      <c r="S83" s="12">
        <v>477.56688756313099</v>
      </c>
      <c r="T83" s="12" t="s">
        <v>333</v>
      </c>
      <c r="W83" s="12">
        <v>594.33620549553405</v>
      </c>
    </row>
    <row r="84" spans="1:23" x14ac:dyDescent="0.2">
      <c r="A84" s="12" t="s">
        <v>124</v>
      </c>
      <c r="B84" s="12">
        <v>20</v>
      </c>
      <c r="C84" s="12">
        <v>4</v>
      </c>
      <c r="D84" s="12">
        <v>2</v>
      </c>
      <c r="E84" s="12">
        <v>5</v>
      </c>
      <c r="F84" s="12">
        <v>12.4696869850158</v>
      </c>
      <c r="G84" s="12">
        <v>8.4650540351867605</v>
      </c>
      <c r="H84" s="12">
        <v>0.50737500190734797</v>
      </c>
      <c r="I84" s="12">
        <v>465.195083648739</v>
      </c>
      <c r="J84" s="12" t="s">
        <v>333</v>
      </c>
      <c r="K84" t="s">
        <v>469</v>
      </c>
      <c r="M84" s="12">
        <v>21.8151099681854</v>
      </c>
      <c r="N84" s="12">
        <v>5.5229310979999999</v>
      </c>
      <c r="O84" s="12">
        <v>16.292178870185399</v>
      </c>
      <c r="P84" s="12">
        <v>11.263426052</v>
      </c>
      <c r="Q84" s="12">
        <v>2.6710837519999999</v>
      </c>
      <c r="R84" s="12">
        <v>6.4939146240000003</v>
      </c>
      <c r="S84" s="12">
        <v>465.195083648739</v>
      </c>
      <c r="T84" s="12" t="s">
        <v>333</v>
      </c>
      <c r="W84" s="12">
        <v>502.22109263885301</v>
      </c>
    </row>
    <row r="85" spans="1:23" x14ac:dyDescent="0.2">
      <c r="A85" s="12" t="s">
        <v>125</v>
      </c>
      <c r="B85" s="12">
        <v>20</v>
      </c>
      <c r="C85" s="12">
        <v>4</v>
      </c>
      <c r="D85" s="12">
        <v>2</v>
      </c>
      <c r="E85" s="12">
        <v>5</v>
      </c>
      <c r="F85" s="12">
        <v>14.211511850357001</v>
      </c>
      <c r="G85" s="12">
        <v>8.4424550533294607</v>
      </c>
      <c r="H85" s="12">
        <v>2.2713310718536301</v>
      </c>
      <c r="I85" s="12">
        <v>478.08919402280702</v>
      </c>
      <c r="J85" s="12" t="s">
        <v>333</v>
      </c>
      <c r="K85" t="s">
        <v>469</v>
      </c>
      <c r="M85" s="12">
        <v>23.578733921051001</v>
      </c>
      <c r="N85" s="12">
        <v>5.5677257619999896</v>
      </c>
      <c r="O85" s="12">
        <v>18.011008159050999</v>
      </c>
      <c r="P85" s="12">
        <v>11.40680059</v>
      </c>
      <c r="Q85" s="12">
        <v>2.94424836</v>
      </c>
      <c r="R85" s="12">
        <v>7.8217208400000002</v>
      </c>
      <c r="S85" s="12">
        <v>478.08919402280799</v>
      </c>
      <c r="T85" s="12" t="s">
        <v>333</v>
      </c>
      <c r="W85" s="12">
        <v>509.085560805265</v>
      </c>
    </row>
    <row r="86" spans="1:23" s="33" customFormat="1" x14ac:dyDescent="0.2">
      <c r="A86" s="35" t="s">
        <v>512</v>
      </c>
      <c r="B86" s="35">
        <v>20</v>
      </c>
      <c r="C86" s="35">
        <v>4</v>
      </c>
      <c r="D86" s="35">
        <v>2</v>
      </c>
      <c r="E86" s="35"/>
      <c r="F86" s="35">
        <f>AVERAGE(F66:F85)</f>
        <v>18.819631671905473</v>
      </c>
      <c r="G86" s="35">
        <f t="shared" ref="G86:S86" si="7">AVERAGE(G66:G85)</f>
        <v>8.5054960489273057</v>
      </c>
      <c r="H86" s="35">
        <f t="shared" si="7"/>
        <v>6.8039422631263706</v>
      </c>
      <c r="I86" s="35">
        <f t="shared" si="7"/>
        <v>463.86166933496287</v>
      </c>
      <c r="J86" s="35"/>
      <c r="K86" s="35"/>
      <c r="L86" s="35"/>
      <c r="M86" s="35">
        <f t="shared" si="7"/>
        <v>24.1262187838554</v>
      </c>
      <c r="N86" s="35">
        <f t="shared" si="7"/>
        <v>5.5714238148999993</v>
      </c>
      <c r="O86" s="35">
        <f t="shared" si="7"/>
        <v>18.554794968955399</v>
      </c>
      <c r="P86" s="35">
        <f t="shared" si="7"/>
        <v>11.410491668549998</v>
      </c>
      <c r="Q86" s="35">
        <f t="shared" si="7"/>
        <v>3.6683804955499966</v>
      </c>
      <c r="R86" s="35">
        <f t="shared" si="7"/>
        <v>7.65399218605</v>
      </c>
      <c r="S86" s="35">
        <f t="shared" si="7"/>
        <v>463.86166933493433</v>
      </c>
      <c r="T86" s="35"/>
      <c r="W86" s="33">
        <f>AVERAGE(W66:W85)</f>
        <v>510.91007417451857</v>
      </c>
    </row>
    <row r="87" spans="1:23" x14ac:dyDescent="0.2">
      <c r="A87" s="12" t="s">
        <v>472</v>
      </c>
      <c r="B87" s="12">
        <v>20</v>
      </c>
      <c r="C87" s="12">
        <v>7</v>
      </c>
      <c r="D87" s="12">
        <v>4</v>
      </c>
      <c r="E87" s="12">
        <v>4</v>
      </c>
      <c r="F87" s="12">
        <v>14.209729194641101</v>
      </c>
      <c r="G87" s="12">
        <v>8.5638470649719203</v>
      </c>
      <c r="H87" s="12">
        <v>2.12146997451782</v>
      </c>
      <c r="I87" s="12">
        <v>417.15230472034199</v>
      </c>
      <c r="J87" s="12" t="s">
        <v>333</v>
      </c>
      <c r="K87" t="s">
        <v>469</v>
      </c>
      <c r="M87" s="12">
        <v>20.218199968337998</v>
      </c>
      <c r="N87" s="12">
        <v>5.532205652</v>
      </c>
      <c r="O87" s="12">
        <v>14.685994316338</v>
      </c>
      <c r="P87" s="12">
        <v>12.117341348</v>
      </c>
      <c r="Q87" s="12">
        <v>6.8421123529999903</v>
      </c>
      <c r="R87" s="12">
        <v>0</v>
      </c>
      <c r="S87" s="12">
        <v>419.70852800339497</v>
      </c>
      <c r="T87" s="12" t="s">
        <v>333</v>
      </c>
      <c r="W87" s="12">
        <v>591.90377826968495</v>
      </c>
    </row>
    <row r="88" spans="1:23" x14ac:dyDescent="0.2">
      <c r="A88" s="12" t="s">
        <v>474</v>
      </c>
      <c r="B88" s="12">
        <v>20</v>
      </c>
      <c r="C88" s="12">
        <v>7</v>
      </c>
      <c r="D88" s="12">
        <v>4</v>
      </c>
      <c r="E88" s="12">
        <v>4</v>
      </c>
      <c r="F88" s="12">
        <v>27.199882030487</v>
      </c>
      <c r="G88" s="12">
        <v>8.7801849842071498</v>
      </c>
      <c r="H88" s="12">
        <v>14.8523612022399</v>
      </c>
      <c r="I88" s="12">
        <v>459.040772484088</v>
      </c>
      <c r="J88" s="12" t="s">
        <v>333</v>
      </c>
      <c r="K88" t="s">
        <v>469</v>
      </c>
      <c r="M88" s="12">
        <v>22.241868019104</v>
      </c>
      <c r="N88" s="12">
        <v>5.579683352</v>
      </c>
      <c r="O88" s="12">
        <v>16.662184667104</v>
      </c>
      <c r="P88" s="12">
        <v>12.264998194</v>
      </c>
      <c r="Q88" s="12">
        <v>2.8306373119999999</v>
      </c>
      <c r="R88" s="12">
        <v>5.7152956579999996</v>
      </c>
      <c r="S88" s="12">
        <v>459.040772484088</v>
      </c>
      <c r="T88" s="12" t="s">
        <v>333</v>
      </c>
      <c r="W88" s="12">
        <v>503.53140192734998</v>
      </c>
    </row>
    <row r="89" spans="1:23" x14ac:dyDescent="0.2">
      <c r="A89" s="12" t="s">
        <v>476</v>
      </c>
      <c r="B89" s="12">
        <v>20</v>
      </c>
      <c r="C89" s="12">
        <v>7</v>
      </c>
      <c r="D89" s="12">
        <v>4</v>
      </c>
      <c r="E89" s="12">
        <v>4</v>
      </c>
      <c r="F89" s="12">
        <v>25.103101968765198</v>
      </c>
      <c r="G89" s="12">
        <v>8.4521238803863508</v>
      </c>
      <c r="H89" s="12">
        <v>13.1562130451202</v>
      </c>
      <c r="I89" s="12">
        <v>435.33354545894298</v>
      </c>
      <c r="J89" s="12" t="s">
        <v>333</v>
      </c>
      <c r="K89" t="s">
        <v>469</v>
      </c>
      <c r="M89" s="12">
        <v>31.898756027221602</v>
      </c>
      <c r="N89" s="12">
        <v>5.5701491359999897</v>
      </c>
      <c r="O89" s="12">
        <v>26.3286068912216</v>
      </c>
      <c r="P89" s="12">
        <v>12.180583752</v>
      </c>
      <c r="Q89" s="12">
        <v>2.8860149749999899</v>
      </c>
      <c r="R89" s="12">
        <v>15.412965031000001</v>
      </c>
      <c r="S89" s="12">
        <v>435.33354545894298</v>
      </c>
      <c r="T89" s="12" t="s">
        <v>333</v>
      </c>
      <c r="W89" s="12">
        <v>452.75621202023802</v>
      </c>
    </row>
    <row r="90" spans="1:23" x14ac:dyDescent="0.2">
      <c r="A90" s="12" t="s">
        <v>478</v>
      </c>
      <c r="B90" s="12">
        <v>20</v>
      </c>
      <c r="C90" s="12">
        <v>7</v>
      </c>
      <c r="D90" s="12">
        <v>4</v>
      </c>
      <c r="E90" s="12">
        <v>4</v>
      </c>
      <c r="F90" s="12">
        <v>23.028528213500898</v>
      </c>
      <c r="G90" s="12">
        <v>8.4395730495452792</v>
      </c>
      <c r="H90" s="12">
        <v>11.095541954040501</v>
      </c>
      <c r="I90" s="12">
        <v>429.47238016650499</v>
      </c>
      <c r="J90" s="12" t="s">
        <v>333</v>
      </c>
      <c r="K90" t="s">
        <v>469</v>
      </c>
      <c r="M90" s="12">
        <v>24.066476106643599</v>
      </c>
      <c r="N90" s="12">
        <v>5.5324907090000002</v>
      </c>
      <c r="O90" s="12">
        <v>18.533985397643601</v>
      </c>
      <c r="P90" s="12">
        <v>12.049899434</v>
      </c>
      <c r="Q90" s="12">
        <v>2.93875318799999</v>
      </c>
      <c r="R90" s="12">
        <v>7.6670532150000001</v>
      </c>
      <c r="S90" s="12">
        <v>434.48716188864398</v>
      </c>
      <c r="T90" s="12" t="s">
        <v>333</v>
      </c>
      <c r="W90" s="12">
        <v>601.22588896964703</v>
      </c>
    </row>
    <row r="91" spans="1:23" x14ac:dyDescent="0.2">
      <c r="A91" s="12" t="s">
        <v>480</v>
      </c>
      <c r="B91" s="12">
        <v>20</v>
      </c>
      <c r="C91" s="12">
        <v>7</v>
      </c>
      <c r="D91" s="12">
        <v>4</v>
      </c>
      <c r="E91" s="12">
        <v>4</v>
      </c>
      <c r="F91" s="12">
        <v>15.492092847824001</v>
      </c>
      <c r="G91" s="12">
        <v>8.5147237777709908</v>
      </c>
      <c r="H91" s="12">
        <v>3.4596250057220401</v>
      </c>
      <c r="I91" s="12">
        <v>361.40967278092</v>
      </c>
      <c r="J91" s="12" t="s">
        <v>333</v>
      </c>
      <c r="K91" t="s">
        <v>469</v>
      </c>
      <c r="M91" s="12">
        <v>23.438369989395099</v>
      </c>
      <c r="N91" s="12">
        <v>5.5147921980000003</v>
      </c>
      <c r="O91" s="12">
        <v>17.9235777913951</v>
      </c>
      <c r="P91" s="12">
        <v>12.021927299</v>
      </c>
      <c r="Q91" s="12">
        <v>3.1832520629999999</v>
      </c>
      <c r="R91" s="12">
        <v>6.826318938</v>
      </c>
      <c r="S91" s="12">
        <v>361.40967278092</v>
      </c>
      <c r="T91" s="12" t="s">
        <v>333</v>
      </c>
      <c r="W91" s="12">
        <v>487.87557789860699</v>
      </c>
    </row>
    <row r="92" spans="1:23" x14ac:dyDescent="0.2">
      <c r="A92" s="12" t="s">
        <v>482</v>
      </c>
      <c r="B92" s="12">
        <v>20</v>
      </c>
      <c r="C92" s="12">
        <v>7</v>
      </c>
      <c r="D92" s="12">
        <v>4</v>
      </c>
      <c r="E92" s="12">
        <v>4</v>
      </c>
      <c r="F92" s="12">
        <v>22.463488817214898</v>
      </c>
      <c r="G92" s="12">
        <v>8.4915318489074707</v>
      </c>
      <c r="H92" s="12">
        <v>10.4683201313018</v>
      </c>
      <c r="I92" s="12">
        <v>427.55131800419002</v>
      </c>
      <c r="J92" s="12" t="s">
        <v>333</v>
      </c>
      <c r="K92" t="s">
        <v>469</v>
      </c>
      <c r="M92" s="12">
        <v>34.6345119476318</v>
      </c>
      <c r="N92" s="12">
        <v>5.7688073449999999</v>
      </c>
      <c r="O92" s="12">
        <v>28.865704602631801</v>
      </c>
      <c r="P92" s="12">
        <v>12.517929958</v>
      </c>
      <c r="Q92" s="12">
        <v>3.17784682699999</v>
      </c>
      <c r="R92" s="12">
        <v>17.468680234000001</v>
      </c>
      <c r="S92" s="12">
        <v>428.469214358307</v>
      </c>
      <c r="T92" s="12" t="s">
        <v>333</v>
      </c>
      <c r="W92" s="12">
        <v>403.39144374186998</v>
      </c>
    </row>
    <row r="93" spans="1:23" x14ac:dyDescent="0.2">
      <c r="A93" s="12" t="s">
        <v>484</v>
      </c>
      <c r="B93" s="12">
        <v>20</v>
      </c>
      <c r="C93" s="12">
        <v>7</v>
      </c>
      <c r="D93" s="12">
        <v>4</v>
      </c>
      <c r="E93" s="12">
        <v>4</v>
      </c>
      <c r="F93" s="12">
        <v>33.299359083175602</v>
      </c>
      <c r="G93" s="12">
        <v>8.6569600105285591</v>
      </c>
      <c r="H93" s="12">
        <v>21.086012125015198</v>
      </c>
      <c r="I93" s="12">
        <v>470.80214300187998</v>
      </c>
      <c r="J93" s="12" t="s">
        <v>333</v>
      </c>
      <c r="K93" t="s">
        <v>469</v>
      </c>
      <c r="M93" s="12">
        <v>30.9662039279937</v>
      </c>
      <c r="N93" s="12">
        <v>5.5273703359999997</v>
      </c>
      <c r="O93" s="12">
        <v>25.438833591993699</v>
      </c>
      <c r="P93" s="12">
        <v>12.114199687999999</v>
      </c>
      <c r="Q93" s="12">
        <v>9.1273002829999896</v>
      </c>
      <c r="R93" s="12">
        <v>8.3158807180000007</v>
      </c>
      <c r="S93" s="12">
        <v>470.80214300187998</v>
      </c>
      <c r="T93" s="12" t="s">
        <v>333</v>
      </c>
      <c r="W93" s="12">
        <v>561.77488961195695</v>
      </c>
    </row>
    <row r="94" spans="1:23" x14ac:dyDescent="0.2">
      <c r="A94" s="12" t="s">
        <v>486</v>
      </c>
      <c r="B94" s="12">
        <v>20</v>
      </c>
      <c r="C94" s="12">
        <v>7</v>
      </c>
      <c r="D94" s="12">
        <v>4</v>
      </c>
      <c r="E94" s="12">
        <v>4</v>
      </c>
      <c r="F94" s="12">
        <v>43.0430359840393</v>
      </c>
      <c r="G94" s="12">
        <v>8.5444440841674805</v>
      </c>
      <c r="H94" s="12">
        <v>30.953047037124598</v>
      </c>
      <c r="I94" s="12">
        <v>420.57271671025802</v>
      </c>
      <c r="J94" s="12" t="s">
        <v>333</v>
      </c>
      <c r="K94" t="s">
        <v>469</v>
      </c>
      <c r="M94" s="12">
        <v>23.925907135009702</v>
      </c>
      <c r="N94" s="12">
        <v>5.5603696359999999</v>
      </c>
      <c r="O94" s="12">
        <v>18.365537499009701</v>
      </c>
      <c r="P94" s="12">
        <v>12.150121499000001</v>
      </c>
      <c r="Q94" s="12">
        <v>3.0434093139999998</v>
      </c>
      <c r="R94" s="12">
        <v>7.303466437</v>
      </c>
      <c r="S94" s="12">
        <v>420.57271671025802</v>
      </c>
      <c r="T94" s="12" t="s">
        <v>333</v>
      </c>
      <c r="W94" s="12">
        <v>526.185731957396</v>
      </c>
    </row>
    <row r="95" spans="1:23" x14ac:dyDescent="0.2">
      <c r="A95" s="12" t="s">
        <v>488</v>
      </c>
      <c r="B95" s="12">
        <v>20</v>
      </c>
      <c r="C95" s="12">
        <v>7</v>
      </c>
      <c r="D95" s="12">
        <v>4</v>
      </c>
      <c r="E95" s="12">
        <v>4</v>
      </c>
      <c r="F95" s="12">
        <v>27.1561021804809</v>
      </c>
      <c r="G95" s="12">
        <v>8.47623610496521</v>
      </c>
      <c r="H95" s="12">
        <v>15.181807994842501</v>
      </c>
      <c r="I95" s="12">
        <v>405.405951962269</v>
      </c>
      <c r="J95" s="12" t="s">
        <v>333</v>
      </c>
      <c r="K95" t="s">
        <v>469</v>
      </c>
      <c r="M95" s="12">
        <v>27.479126930236799</v>
      </c>
      <c r="N95" s="12">
        <v>5.6435824219999997</v>
      </c>
      <c r="O95" s="12">
        <v>21.835544508236801</v>
      </c>
      <c r="P95" s="12">
        <v>12.123683120999999</v>
      </c>
      <c r="Q95" s="12">
        <v>3.4776787420000002</v>
      </c>
      <c r="R95" s="12">
        <v>10.469142524</v>
      </c>
      <c r="S95" s="12">
        <v>405.405951962269</v>
      </c>
      <c r="T95" s="12" t="s">
        <v>333</v>
      </c>
      <c r="W95" s="12">
        <v>435.14815129972402</v>
      </c>
    </row>
    <row r="96" spans="1:23" x14ac:dyDescent="0.2">
      <c r="A96" s="12" t="s">
        <v>490</v>
      </c>
      <c r="B96" s="12">
        <v>20</v>
      </c>
      <c r="C96" s="12">
        <v>7</v>
      </c>
      <c r="D96" s="12">
        <v>4</v>
      </c>
      <c r="E96" s="12">
        <v>5</v>
      </c>
      <c r="F96" s="12">
        <v>23.004128932952799</v>
      </c>
      <c r="G96" s="12">
        <v>8.5001878738403303</v>
      </c>
      <c r="H96" s="12">
        <v>10.9881629943847</v>
      </c>
      <c r="I96" s="12">
        <v>408.263999956502</v>
      </c>
      <c r="J96" s="12" t="s">
        <v>333</v>
      </c>
      <c r="K96" t="s">
        <v>469</v>
      </c>
      <c r="M96" s="12">
        <v>17.536991119384702</v>
      </c>
      <c r="N96" s="12">
        <v>5.5165210189999998</v>
      </c>
      <c r="O96" s="12">
        <v>12.020470100384699</v>
      </c>
      <c r="P96" s="12">
        <v>12.107742211</v>
      </c>
      <c r="Q96" s="12">
        <v>4.1777540640000002</v>
      </c>
      <c r="R96" s="12">
        <v>0</v>
      </c>
      <c r="S96" s="12">
        <v>408.263999956502</v>
      </c>
      <c r="T96" s="12" t="s">
        <v>333</v>
      </c>
      <c r="W96" s="12">
        <v>568.69871138197095</v>
      </c>
    </row>
    <row r="97" spans="1:23" x14ac:dyDescent="0.2">
      <c r="A97" s="12" t="s">
        <v>492</v>
      </c>
      <c r="B97" s="12">
        <v>20</v>
      </c>
      <c r="C97" s="12">
        <v>7</v>
      </c>
      <c r="D97" s="12">
        <v>4</v>
      </c>
      <c r="E97" s="12">
        <v>5</v>
      </c>
      <c r="F97" s="12">
        <v>32.616945981979299</v>
      </c>
      <c r="G97" s="12">
        <v>8.4875669479370099</v>
      </c>
      <c r="H97" s="12">
        <v>20.628592014312702</v>
      </c>
      <c r="I97" s="12">
        <v>428.93711797635802</v>
      </c>
      <c r="J97" s="12" t="s">
        <v>333</v>
      </c>
      <c r="K97" t="s">
        <v>469</v>
      </c>
      <c r="M97" s="12">
        <v>29.3140079975128</v>
      </c>
      <c r="N97" s="12">
        <v>5.7474784369999998</v>
      </c>
      <c r="O97" s="12">
        <v>23.566529560512802</v>
      </c>
      <c r="P97" s="12">
        <v>12.562285278999999</v>
      </c>
      <c r="Q97" s="12">
        <v>3.1041947940000001</v>
      </c>
      <c r="R97" s="12">
        <v>12.181096696999999</v>
      </c>
      <c r="S97" s="12">
        <v>443.97557694918203</v>
      </c>
      <c r="T97" s="12" t="s">
        <v>333</v>
      </c>
      <c r="W97" s="12">
        <v>516.22712486070202</v>
      </c>
    </row>
    <row r="98" spans="1:23" x14ac:dyDescent="0.2">
      <c r="A98" s="12" t="s">
        <v>494</v>
      </c>
      <c r="B98" s="12">
        <v>20</v>
      </c>
      <c r="C98" s="12">
        <v>7</v>
      </c>
      <c r="D98" s="12">
        <v>4</v>
      </c>
      <c r="E98" s="12">
        <v>4</v>
      </c>
      <c r="F98" s="12">
        <v>38.934672117233198</v>
      </c>
      <c r="G98" s="12">
        <v>8.4305200576782209</v>
      </c>
      <c r="H98" s="12">
        <v>27.008964061737</v>
      </c>
      <c r="I98" s="12">
        <v>429.03316245369803</v>
      </c>
      <c r="J98" s="12" t="s">
        <v>333</v>
      </c>
      <c r="K98" t="s">
        <v>469</v>
      </c>
      <c r="M98" s="12">
        <v>30.1931598186492</v>
      </c>
      <c r="N98" s="12">
        <v>5.54460876</v>
      </c>
      <c r="O98" s="12">
        <v>24.6485510586492</v>
      </c>
      <c r="P98" s="12">
        <v>12.131756104000001</v>
      </c>
      <c r="Q98" s="12">
        <v>3.6992715269999898</v>
      </c>
      <c r="R98" s="12">
        <v>12.943631454</v>
      </c>
      <c r="S98" s="12">
        <v>429.03316245369803</v>
      </c>
      <c r="T98" s="12" t="s">
        <v>333</v>
      </c>
      <c r="W98" s="12">
        <v>462.64262443182503</v>
      </c>
    </row>
    <row r="99" spans="1:23" x14ac:dyDescent="0.2">
      <c r="A99" s="12" t="s">
        <v>496</v>
      </c>
      <c r="B99" s="12">
        <v>20</v>
      </c>
      <c r="C99" s="12">
        <v>7</v>
      </c>
      <c r="D99" s="12">
        <v>4</v>
      </c>
      <c r="E99" s="12">
        <v>4</v>
      </c>
      <c r="F99" s="12">
        <v>291.44965004920903</v>
      </c>
      <c r="G99" s="12">
        <v>8.4466419219970703</v>
      </c>
      <c r="H99" s="12">
        <v>279.50695705413801</v>
      </c>
      <c r="I99" s="12">
        <v>437.82463147135599</v>
      </c>
      <c r="J99" s="12" t="s">
        <v>333</v>
      </c>
      <c r="K99" t="s">
        <v>469</v>
      </c>
      <c r="M99" s="12">
        <v>25.538802862167302</v>
      </c>
      <c r="N99" s="12">
        <v>5.5348986699999996</v>
      </c>
      <c r="O99" s="12">
        <v>20.003904192167301</v>
      </c>
      <c r="P99" s="12">
        <v>12.083833709</v>
      </c>
      <c r="Q99" s="12">
        <v>3.0375175759999999</v>
      </c>
      <c r="R99" s="12">
        <v>8.9899229429999998</v>
      </c>
      <c r="S99" s="12">
        <v>437.82463147135599</v>
      </c>
      <c r="T99" s="12" t="s">
        <v>333</v>
      </c>
      <c r="W99" s="12">
        <v>537.46399414029804</v>
      </c>
    </row>
    <row r="100" spans="1:23" x14ac:dyDescent="0.2">
      <c r="A100" s="12" t="s">
        <v>498</v>
      </c>
      <c r="B100" s="12">
        <v>20</v>
      </c>
      <c r="C100" s="12">
        <v>7</v>
      </c>
      <c r="D100" s="12">
        <v>4</v>
      </c>
      <c r="E100" s="12">
        <v>4</v>
      </c>
      <c r="F100" s="12">
        <v>39.848443984985302</v>
      </c>
      <c r="G100" s="12">
        <v>8.5950169563293404</v>
      </c>
      <c r="H100" s="12">
        <v>27.735958099365199</v>
      </c>
      <c r="I100" s="12">
        <v>424.28145867785599</v>
      </c>
      <c r="J100" s="12" t="s">
        <v>333</v>
      </c>
      <c r="K100" t="s">
        <v>469</v>
      </c>
      <c r="M100" s="12">
        <v>30.6983721256256</v>
      </c>
      <c r="N100" s="12">
        <v>5.5290132710000002</v>
      </c>
      <c r="O100" s="12">
        <v>25.1693588546256</v>
      </c>
      <c r="P100" s="12">
        <v>12.038747622000001</v>
      </c>
      <c r="Q100" s="12">
        <v>3.1416940449999999</v>
      </c>
      <c r="R100" s="12">
        <v>14.107021377000001</v>
      </c>
      <c r="S100" s="12">
        <v>424.28145867785599</v>
      </c>
      <c r="T100" s="12" t="s">
        <v>333</v>
      </c>
      <c r="W100" s="12">
        <v>480.40662517570001</v>
      </c>
    </row>
    <row r="101" spans="1:23" x14ac:dyDescent="0.2">
      <c r="A101" s="12" t="s">
        <v>500</v>
      </c>
      <c r="B101" s="12">
        <v>20</v>
      </c>
      <c r="C101" s="12">
        <v>7</v>
      </c>
      <c r="D101" s="12">
        <v>4</v>
      </c>
      <c r="E101" s="12">
        <v>4</v>
      </c>
      <c r="F101" s="12">
        <v>32.385524988174403</v>
      </c>
      <c r="G101" s="12">
        <v>8.4553139209747297</v>
      </c>
      <c r="H101" s="12">
        <v>20.4286820888519</v>
      </c>
      <c r="I101" s="12">
        <v>375.396617921884</v>
      </c>
      <c r="J101" s="12" t="s">
        <v>333</v>
      </c>
      <c r="K101" t="s">
        <v>469</v>
      </c>
      <c r="M101" s="12">
        <v>32.088536977767902</v>
      </c>
      <c r="N101" s="12">
        <v>5.7429834069999997</v>
      </c>
      <c r="O101" s="12">
        <v>26.345553570767901</v>
      </c>
      <c r="P101" s="12">
        <v>12.498617530000001</v>
      </c>
      <c r="Q101" s="12">
        <v>3.56575854</v>
      </c>
      <c r="R101" s="12">
        <v>14.547208770999999</v>
      </c>
      <c r="S101" s="12">
        <v>375.396617921884</v>
      </c>
      <c r="T101" s="12" t="s">
        <v>333</v>
      </c>
      <c r="W101" s="12">
        <v>470.800151192219</v>
      </c>
    </row>
    <row r="102" spans="1:23" x14ac:dyDescent="0.2">
      <c r="A102" s="12" t="s">
        <v>502</v>
      </c>
      <c r="B102" s="12">
        <v>20</v>
      </c>
      <c r="C102" s="12">
        <v>7</v>
      </c>
      <c r="D102" s="12">
        <v>4</v>
      </c>
      <c r="E102" s="12">
        <v>5</v>
      </c>
      <c r="F102" s="12">
        <v>15.145591020584099</v>
      </c>
      <c r="G102" s="12">
        <v>8.6173131465911794</v>
      </c>
      <c r="H102" s="12">
        <v>2.9694049358367902</v>
      </c>
      <c r="I102" s="12">
        <v>436.57622396617802</v>
      </c>
      <c r="J102" s="12" t="s">
        <v>333</v>
      </c>
      <c r="K102" t="s">
        <v>469</v>
      </c>
      <c r="M102" s="12">
        <v>22.067505121231001</v>
      </c>
      <c r="N102" s="12">
        <v>5.5820915709999896</v>
      </c>
      <c r="O102" s="12">
        <v>16.485413550231002</v>
      </c>
      <c r="P102" s="12">
        <v>12.236088235</v>
      </c>
      <c r="Q102" s="12">
        <v>2.8356789820000001</v>
      </c>
      <c r="R102" s="12">
        <v>5.5644048240000004</v>
      </c>
      <c r="S102" s="12">
        <v>453.537209794131</v>
      </c>
      <c r="T102" s="12" t="s">
        <v>333</v>
      </c>
      <c r="W102" s="12">
        <v>584.01500570242001</v>
      </c>
    </row>
    <row r="103" spans="1:23" x14ac:dyDescent="0.2">
      <c r="A103" s="12" t="s">
        <v>504</v>
      </c>
      <c r="B103" s="12">
        <v>20</v>
      </c>
      <c r="C103" s="12">
        <v>7</v>
      </c>
      <c r="D103" s="12">
        <v>4</v>
      </c>
      <c r="E103" s="12">
        <v>4</v>
      </c>
      <c r="F103" s="12">
        <v>31.2856299877166</v>
      </c>
      <c r="G103" s="12">
        <v>8.5929110050201398</v>
      </c>
      <c r="H103" s="12">
        <v>19.184235095977701</v>
      </c>
      <c r="I103" s="12">
        <v>465.25275842649302</v>
      </c>
      <c r="J103" s="12" t="s">
        <v>333</v>
      </c>
      <c r="K103" t="s">
        <v>469</v>
      </c>
      <c r="M103" s="12">
        <v>27.023131847381499</v>
      </c>
      <c r="N103" s="12">
        <v>5.7553644759999996</v>
      </c>
      <c r="O103" s="12">
        <v>21.267767371381499</v>
      </c>
      <c r="P103" s="12">
        <v>12.601602357000001</v>
      </c>
      <c r="Q103" s="12">
        <v>3.10725516999999</v>
      </c>
      <c r="R103" s="12">
        <v>9.8410325019999991</v>
      </c>
      <c r="S103" s="12">
        <v>465.25275842649199</v>
      </c>
      <c r="T103" s="12" t="s">
        <v>333</v>
      </c>
      <c r="W103" s="12">
        <v>490.37490370739499</v>
      </c>
    </row>
    <row r="104" spans="1:23" x14ac:dyDescent="0.2">
      <c r="A104" s="12" t="s">
        <v>506</v>
      </c>
      <c r="B104" s="12">
        <v>20</v>
      </c>
      <c r="C104" s="12">
        <v>7</v>
      </c>
      <c r="D104" s="12">
        <v>4</v>
      </c>
      <c r="E104" s="12">
        <v>4</v>
      </c>
      <c r="F104" s="12">
        <v>50.7940928936004</v>
      </c>
      <c r="G104" s="12">
        <v>8.5685770511627197</v>
      </c>
      <c r="H104" s="12">
        <v>38.682805061340297</v>
      </c>
      <c r="I104" s="12">
        <v>442.24389034764499</v>
      </c>
      <c r="J104" s="12" t="s">
        <v>333</v>
      </c>
      <c r="K104" t="s">
        <v>469</v>
      </c>
      <c r="M104" s="12">
        <v>36.618673086166297</v>
      </c>
      <c r="N104" s="12">
        <v>5.5507926210000003</v>
      </c>
      <c r="O104" s="12">
        <v>31.067880465166301</v>
      </c>
      <c r="P104" s="12">
        <v>12.121309805999999</v>
      </c>
      <c r="Q104" s="12">
        <v>3.040609538</v>
      </c>
      <c r="R104" s="12">
        <v>20.032717423000001</v>
      </c>
      <c r="S104" s="12">
        <v>442.24389034764499</v>
      </c>
      <c r="T104" s="12" t="s">
        <v>333</v>
      </c>
      <c r="W104" s="12">
        <v>457.21465307474</v>
      </c>
    </row>
    <row r="105" spans="1:23" x14ac:dyDescent="0.2">
      <c r="A105" s="12" t="s">
        <v>508</v>
      </c>
      <c r="B105" s="12">
        <v>20</v>
      </c>
      <c r="C105" s="12">
        <v>7</v>
      </c>
      <c r="D105" s="12">
        <v>4</v>
      </c>
      <c r="E105" s="12">
        <v>4</v>
      </c>
      <c r="F105" s="12">
        <v>18.801611185073799</v>
      </c>
      <c r="G105" s="12">
        <v>8.4518690109252894</v>
      </c>
      <c r="H105" s="12">
        <v>6.8205828666687003</v>
      </c>
      <c r="I105" s="12">
        <v>413.27014465749602</v>
      </c>
      <c r="J105" s="12" t="s">
        <v>333</v>
      </c>
      <c r="K105" t="s">
        <v>469</v>
      </c>
      <c r="M105" s="12">
        <v>25.9558360576629</v>
      </c>
      <c r="N105" s="12">
        <v>5.7404570919999998</v>
      </c>
      <c r="O105" s="12">
        <v>20.2153789656629</v>
      </c>
      <c r="P105" s="12">
        <v>12.380221058</v>
      </c>
      <c r="Q105" s="12">
        <v>3.0224260799999998</v>
      </c>
      <c r="R105" s="12">
        <v>9.1265190440000001</v>
      </c>
      <c r="S105" s="12">
        <v>413.27014465749602</v>
      </c>
      <c r="T105" s="12" t="s">
        <v>333</v>
      </c>
      <c r="W105" s="12">
        <v>597.58922227075197</v>
      </c>
    </row>
    <row r="106" spans="1:23" x14ac:dyDescent="0.2">
      <c r="A106" s="12" t="s">
        <v>510</v>
      </c>
      <c r="B106" s="12">
        <v>20</v>
      </c>
      <c r="C106" s="12">
        <v>7</v>
      </c>
      <c r="D106" s="12">
        <v>4</v>
      </c>
      <c r="E106" s="12">
        <v>4</v>
      </c>
      <c r="F106" s="12">
        <v>18.8529548645019</v>
      </c>
      <c r="G106" s="12">
        <v>8.4567539691924996</v>
      </c>
      <c r="H106" s="12">
        <v>6.89511895179748</v>
      </c>
      <c r="I106" s="12">
        <v>377.42816750889699</v>
      </c>
      <c r="J106" s="12" t="s">
        <v>333</v>
      </c>
      <c r="K106" t="s">
        <v>469</v>
      </c>
      <c r="M106" s="12">
        <v>31.881129980087199</v>
      </c>
      <c r="N106" s="12">
        <v>5.5696064410000004</v>
      </c>
      <c r="O106" s="12">
        <v>26.311523539087201</v>
      </c>
      <c r="P106" s="12">
        <v>12.146552294999999</v>
      </c>
      <c r="Q106" s="12">
        <v>3.1297764629999998</v>
      </c>
      <c r="R106" s="12">
        <v>15.179482106</v>
      </c>
      <c r="S106" s="12">
        <v>377.42816750889699</v>
      </c>
      <c r="T106" s="12" t="s">
        <v>333</v>
      </c>
      <c r="W106" s="12">
        <v>482.96719491283301</v>
      </c>
    </row>
    <row r="107" spans="1:23" s="33" customFormat="1" x14ac:dyDescent="0.2">
      <c r="A107" s="35"/>
      <c r="B107" s="35">
        <v>20</v>
      </c>
      <c r="C107" s="35">
        <v>7</v>
      </c>
      <c r="D107" s="35">
        <v>4</v>
      </c>
      <c r="E107" s="35"/>
      <c r="F107" s="35">
        <f>AVERAGE(F87:F106)</f>
        <v>41.205728316306995</v>
      </c>
      <c r="G107" s="35">
        <f t="shared" ref="G107:S107" si="8">AVERAGE(G87:G106)</f>
        <v>8.5261148333549492</v>
      </c>
      <c r="H107" s="35">
        <f t="shared" si="8"/>
        <v>29.16119308471675</v>
      </c>
      <c r="I107" s="35">
        <f t="shared" si="8"/>
        <v>423.26244893268796</v>
      </c>
      <c r="J107" s="35"/>
      <c r="K107" s="35"/>
      <c r="L107" s="35"/>
      <c r="M107" s="35">
        <f t="shared" si="8"/>
        <v>27.389278352260526</v>
      </c>
      <c r="N107" s="35">
        <f t="shared" si="8"/>
        <v>5.6021633275499987</v>
      </c>
      <c r="O107" s="35">
        <f t="shared" si="8"/>
        <v>21.787115024710538</v>
      </c>
      <c r="P107" s="35">
        <f t="shared" si="8"/>
        <v>12.222472024949997</v>
      </c>
      <c r="Q107" s="35">
        <f t="shared" si="8"/>
        <v>3.6684470917999965</v>
      </c>
      <c r="R107" s="35">
        <f t="shared" si="8"/>
        <v>10.084591994799998</v>
      </c>
      <c r="S107" s="35">
        <f t="shared" si="8"/>
        <v>425.28686624069212</v>
      </c>
      <c r="T107" s="35"/>
      <c r="W107" s="33">
        <f>AVERAGE(W87:W106)</f>
        <v>510.60966432736649</v>
      </c>
    </row>
    <row r="108" spans="1:23" x14ac:dyDescent="0.2">
      <c r="A108" s="12" t="s">
        <v>475</v>
      </c>
      <c r="B108" s="12">
        <v>20</v>
      </c>
      <c r="C108" s="12">
        <v>9</v>
      </c>
      <c r="D108" s="12">
        <v>5</v>
      </c>
      <c r="E108" s="12">
        <v>4</v>
      </c>
      <c r="F108" s="12">
        <v>33.006057977676299</v>
      </c>
      <c r="G108" s="12">
        <v>8.5057828426360995</v>
      </c>
      <c r="H108" s="12">
        <v>21.002103090286202</v>
      </c>
      <c r="I108" s="12">
        <v>483.08735097801599</v>
      </c>
      <c r="J108" s="12" t="s">
        <v>333</v>
      </c>
      <c r="K108" t="s">
        <v>469</v>
      </c>
      <c r="M108" s="12">
        <v>32.428445100784302</v>
      </c>
      <c r="N108" s="12">
        <v>5.5466005639999896</v>
      </c>
      <c r="O108" s="12">
        <v>26.8818445367843</v>
      </c>
      <c r="P108" s="12">
        <v>19.235831307000002</v>
      </c>
      <c r="Q108" s="12">
        <v>2.91291498</v>
      </c>
      <c r="R108" s="12">
        <v>8.8487277829999993</v>
      </c>
      <c r="S108" s="12">
        <v>483.08735097801599</v>
      </c>
      <c r="T108" s="12" t="s">
        <v>333</v>
      </c>
      <c r="W108" s="12">
        <v>424.65702167033902</v>
      </c>
    </row>
    <row r="109" spans="1:23" x14ac:dyDescent="0.2">
      <c r="A109" s="12" t="s">
        <v>477</v>
      </c>
      <c r="B109" s="12">
        <v>20</v>
      </c>
      <c r="C109" s="12">
        <v>9</v>
      </c>
      <c r="D109" s="12">
        <v>5</v>
      </c>
      <c r="E109" s="12">
        <v>4</v>
      </c>
      <c r="F109" s="12">
        <v>28.118524074554401</v>
      </c>
      <c r="G109" s="12">
        <v>8.5475590229034406</v>
      </c>
      <c r="H109" s="12">
        <v>16.0584988594055</v>
      </c>
      <c r="I109" s="12">
        <v>460.63387248693698</v>
      </c>
      <c r="J109" s="12" t="s">
        <v>333</v>
      </c>
      <c r="K109" t="s">
        <v>469</v>
      </c>
      <c r="M109" s="12">
        <v>38.811294078826897</v>
      </c>
      <c r="N109" s="12">
        <v>5.2150426019999996</v>
      </c>
      <c r="O109" s="12">
        <v>33.5962514768269</v>
      </c>
      <c r="P109" s="12">
        <v>18.464889791000001</v>
      </c>
      <c r="Q109" s="12">
        <v>3.1024445190000001</v>
      </c>
      <c r="R109" s="12">
        <v>15.817167337000001</v>
      </c>
      <c r="S109" s="12">
        <v>464.00435852120501</v>
      </c>
      <c r="T109" s="12" t="s">
        <v>333</v>
      </c>
      <c r="W109" s="12">
        <v>541.47366848782804</v>
      </c>
    </row>
    <row r="110" spans="1:23" x14ac:dyDescent="0.2">
      <c r="A110" s="12" t="s">
        <v>479</v>
      </c>
      <c r="B110" s="12">
        <v>20</v>
      </c>
      <c r="C110" s="12">
        <v>9</v>
      </c>
      <c r="D110" s="12">
        <v>5</v>
      </c>
      <c r="E110" s="12">
        <v>4</v>
      </c>
      <c r="F110" s="12">
        <v>49.1762340068817</v>
      </c>
      <c r="G110" s="12">
        <v>8.5290019512176496</v>
      </c>
      <c r="H110" s="12">
        <v>37.1430728435516</v>
      </c>
      <c r="I110" s="12">
        <v>484.23552174001998</v>
      </c>
      <c r="J110" s="12" t="s">
        <v>333</v>
      </c>
      <c r="K110" t="s">
        <v>469</v>
      </c>
      <c r="M110" s="12">
        <v>31.115891933441102</v>
      </c>
      <c r="N110" s="12">
        <v>5.5346295230000004</v>
      </c>
      <c r="O110" s="12">
        <v>25.581262410441099</v>
      </c>
      <c r="P110" s="12">
        <v>18.747721553000002</v>
      </c>
      <c r="Q110" s="12">
        <v>3.2736790500000001</v>
      </c>
      <c r="R110" s="12">
        <v>7.6661713300000001</v>
      </c>
      <c r="S110" s="12">
        <v>484.23552174001998</v>
      </c>
      <c r="T110" s="12" t="s">
        <v>333</v>
      </c>
      <c r="W110" s="12">
        <v>517.20514409854002</v>
      </c>
    </row>
    <row r="111" spans="1:23" x14ac:dyDescent="0.2">
      <c r="A111" s="12" t="s">
        <v>481</v>
      </c>
      <c r="B111" s="12">
        <v>20</v>
      </c>
      <c r="C111" s="12">
        <v>9</v>
      </c>
      <c r="D111" s="12">
        <v>5</v>
      </c>
      <c r="E111" s="12">
        <v>4</v>
      </c>
      <c r="F111" s="12">
        <v>22.874330997466998</v>
      </c>
      <c r="G111" s="12">
        <v>8.4779469966888392</v>
      </c>
      <c r="H111" s="12">
        <v>10.894134998321499</v>
      </c>
      <c r="I111" s="12">
        <v>423.26728963585401</v>
      </c>
      <c r="J111" s="12" t="s">
        <v>333</v>
      </c>
      <c r="K111" t="s">
        <v>469</v>
      </c>
      <c r="M111" s="12">
        <v>43.787040948867798</v>
      </c>
      <c r="N111" s="12">
        <v>5.7714367419999997</v>
      </c>
      <c r="O111" s="12">
        <v>38.015604206867799</v>
      </c>
      <c r="P111" s="12">
        <v>19.480567621999999</v>
      </c>
      <c r="Q111" s="12">
        <v>3.0230810629999998</v>
      </c>
      <c r="R111" s="12">
        <v>19.793563340999999</v>
      </c>
      <c r="S111" s="12">
        <v>423.48168962999699</v>
      </c>
      <c r="T111" s="12" t="s">
        <v>333</v>
      </c>
      <c r="W111" s="12">
        <v>380.16059807193602</v>
      </c>
    </row>
    <row r="112" spans="1:23" x14ac:dyDescent="0.2">
      <c r="A112" s="12" t="s">
        <v>483</v>
      </c>
      <c r="B112" s="12">
        <v>20</v>
      </c>
      <c r="C112" s="12">
        <v>9</v>
      </c>
      <c r="D112" s="12">
        <v>5</v>
      </c>
      <c r="E112" s="12">
        <v>4</v>
      </c>
      <c r="F112" s="12">
        <v>47.1879429817199</v>
      </c>
      <c r="G112" s="12">
        <v>8.4951660633087105</v>
      </c>
      <c r="H112" s="12">
        <v>35.183792114257798</v>
      </c>
      <c r="I112" s="12">
        <v>491.105994478215</v>
      </c>
      <c r="J112" s="12" t="s">
        <v>333</v>
      </c>
      <c r="K112" t="s">
        <v>469</v>
      </c>
      <c r="M112" s="12">
        <v>29.8405809402465</v>
      </c>
      <c r="N112" s="12">
        <v>5.5239301039999997</v>
      </c>
      <c r="O112" s="12">
        <v>24.316650836246499</v>
      </c>
      <c r="P112" s="12">
        <v>18.951078979999998</v>
      </c>
      <c r="Q112" s="12">
        <v>3.0381143530000001</v>
      </c>
      <c r="R112" s="12">
        <v>6.4300613670000004</v>
      </c>
      <c r="S112" s="12">
        <v>491.105994478215</v>
      </c>
      <c r="T112" s="12" t="s">
        <v>333</v>
      </c>
      <c r="W112" s="12">
        <v>517.42119768590601</v>
      </c>
    </row>
    <row r="113" spans="1:23" x14ac:dyDescent="0.2">
      <c r="A113" s="12" t="s">
        <v>485</v>
      </c>
      <c r="B113" s="12">
        <v>20</v>
      </c>
      <c r="C113" s="12">
        <v>9</v>
      </c>
      <c r="D113" s="12">
        <v>5</v>
      </c>
      <c r="E113" s="12">
        <v>4</v>
      </c>
      <c r="F113" s="12">
        <v>51.162355899810699</v>
      </c>
      <c r="G113" s="12">
        <v>8.5744118690490705</v>
      </c>
      <c r="H113" s="12">
        <v>39.047888994216898</v>
      </c>
      <c r="I113" s="12">
        <v>487.846030882957</v>
      </c>
      <c r="J113" s="12" t="s">
        <v>333</v>
      </c>
      <c r="K113" t="s">
        <v>469</v>
      </c>
      <c r="M113" s="12">
        <v>29.6391599178314</v>
      </c>
      <c r="N113" s="12">
        <v>5.5305756300000004</v>
      </c>
      <c r="O113" s="12">
        <v>24.108584287831398</v>
      </c>
      <c r="P113" s="12">
        <v>18.947577548000002</v>
      </c>
      <c r="Q113" s="12">
        <v>3.2483543699999999</v>
      </c>
      <c r="R113" s="12">
        <v>6.0220322020000001</v>
      </c>
      <c r="S113" s="12">
        <v>487.846030882957</v>
      </c>
      <c r="T113" s="12" t="s">
        <v>333</v>
      </c>
      <c r="W113" s="12">
        <v>522.42291552696202</v>
      </c>
    </row>
    <row r="114" spans="1:23" x14ac:dyDescent="0.2">
      <c r="A114" s="12" t="s">
        <v>487</v>
      </c>
      <c r="B114" s="12">
        <v>20</v>
      </c>
      <c r="C114" s="12">
        <v>9</v>
      </c>
      <c r="D114" s="12">
        <v>5</v>
      </c>
      <c r="E114" s="12">
        <v>4</v>
      </c>
      <c r="F114" s="12">
        <v>51.110288143157902</v>
      </c>
      <c r="G114" s="12">
        <v>8.5562069416046107</v>
      </c>
      <c r="H114" s="12">
        <v>39.011049985885599</v>
      </c>
      <c r="I114" s="12">
        <v>474.432794803467</v>
      </c>
      <c r="J114" s="12" t="s">
        <v>333</v>
      </c>
      <c r="K114" t="s">
        <v>469</v>
      </c>
      <c r="M114" s="12">
        <v>33.611221075057898</v>
      </c>
      <c r="N114" s="12">
        <v>5.517055708</v>
      </c>
      <c r="O114" s="12">
        <v>28.094165367057901</v>
      </c>
      <c r="P114" s="12">
        <v>18.970763559000002</v>
      </c>
      <c r="Q114" s="12">
        <v>3.0821002480000002</v>
      </c>
      <c r="R114" s="12">
        <v>10.136254084999999</v>
      </c>
      <c r="S114" s="12">
        <v>474.432794803467</v>
      </c>
      <c r="T114" s="12" t="s">
        <v>333</v>
      </c>
      <c r="W114" s="12">
        <v>481.02053415555201</v>
      </c>
    </row>
    <row r="115" spans="1:23" x14ac:dyDescent="0.2">
      <c r="A115" s="12" t="s">
        <v>489</v>
      </c>
      <c r="B115" s="12">
        <v>20</v>
      </c>
      <c r="C115" s="12">
        <v>9</v>
      </c>
      <c r="D115" s="12">
        <v>5</v>
      </c>
      <c r="E115" s="12">
        <v>4</v>
      </c>
      <c r="F115" s="12">
        <v>186.74913907051001</v>
      </c>
      <c r="G115" s="12">
        <v>8.4511690139770508</v>
      </c>
      <c r="H115" s="12">
        <v>174.79849195480301</v>
      </c>
      <c r="I115" s="12">
        <v>487.08366908287798</v>
      </c>
      <c r="J115" s="12" t="s">
        <v>333</v>
      </c>
      <c r="K115" t="s">
        <v>469</v>
      </c>
      <c r="M115" s="12">
        <v>34.942785024642902</v>
      </c>
      <c r="N115" s="12">
        <v>5.7557899619999997</v>
      </c>
      <c r="O115" s="12">
        <v>29.1869950626429</v>
      </c>
      <c r="P115" s="12">
        <v>19.133342781</v>
      </c>
      <c r="Q115" s="12">
        <v>3.4136518570000001</v>
      </c>
      <c r="R115" s="12">
        <v>10.912448543</v>
      </c>
      <c r="S115" s="12">
        <v>487.08366908287798</v>
      </c>
      <c r="T115" s="12" t="s">
        <v>333</v>
      </c>
      <c r="W115" s="12">
        <v>591.91074764479504</v>
      </c>
    </row>
    <row r="116" spans="1:23" x14ac:dyDescent="0.2">
      <c r="A116" s="12" t="s">
        <v>491</v>
      </c>
      <c r="B116" s="12">
        <v>20</v>
      </c>
      <c r="C116" s="12">
        <v>9</v>
      </c>
      <c r="D116" s="12">
        <v>5</v>
      </c>
      <c r="E116" s="12">
        <v>4</v>
      </c>
      <c r="F116" s="12">
        <v>31.1310069561004</v>
      </c>
      <c r="G116" s="12">
        <v>8.4466569423675502</v>
      </c>
      <c r="H116" s="12">
        <v>19.1786580085754</v>
      </c>
      <c r="I116" s="12">
        <v>426.371430987449</v>
      </c>
      <c r="J116" s="12" t="s">
        <v>333</v>
      </c>
      <c r="K116" t="s">
        <v>469</v>
      </c>
      <c r="M116" s="12">
        <v>31.188601016998199</v>
      </c>
      <c r="N116" s="12">
        <v>5.5293441449999996</v>
      </c>
      <c r="O116" s="12">
        <v>25.659256871998199</v>
      </c>
      <c r="P116" s="12">
        <v>18.862389830000001</v>
      </c>
      <c r="Q116" s="12">
        <v>3.0137644410000002</v>
      </c>
      <c r="R116" s="12">
        <v>7.8904523510000004</v>
      </c>
      <c r="S116" s="12">
        <v>426.371430987449</v>
      </c>
      <c r="T116" s="12" t="s">
        <v>333</v>
      </c>
      <c r="W116" s="12">
        <v>491.81340244768199</v>
      </c>
    </row>
    <row r="117" spans="1:23" x14ac:dyDescent="0.2">
      <c r="A117" s="12" t="s">
        <v>493</v>
      </c>
      <c r="B117" s="12">
        <v>20</v>
      </c>
      <c r="C117" s="12">
        <v>9</v>
      </c>
      <c r="D117" s="12">
        <v>5</v>
      </c>
      <c r="E117" s="12">
        <v>4</v>
      </c>
      <c r="F117" s="12">
        <v>52.743772983550997</v>
      </c>
      <c r="G117" s="12">
        <v>8.5488770008087105</v>
      </c>
      <c r="H117" s="12">
        <v>40.648392915725701</v>
      </c>
      <c r="I117" s="12">
        <v>453.18150621187601</v>
      </c>
      <c r="J117" s="12" t="s">
        <v>333</v>
      </c>
      <c r="K117" t="s">
        <v>469</v>
      </c>
      <c r="M117" s="12">
        <v>38.384809970855699</v>
      </c>
      <c r="N117" s="12">
        <v>5.792782001</v>
      </c>
      <c r="O117" s="12">
        <v>32.5920279698557</v>
      </c>
      <c r="P117" s="12">
        <v>19.519058665999999</v>
      </c>
      <c r="Q117" s="12">
        <v>3.5690040609999998</v>
      </c>
      <c r="R117" s="12">
        <v>13.803831839000001</v>
      </c>
      <c r="S117" s="12">
        <v>453.18150621187698</v>
      </c>
      <c r="T117" s="12" t="s">
        <v>333</v>
      </c>
      <c r="W117" s="12">
        <v>507.55195602391802</v>
      </c>
    </row>
    <row r="118" spans="1:23" x14ac:dyDescent="0.2">
      <c r="A118" s="12" t="s">
        <v>495</v>
      </c>
      <c r="B118" s="12">
        <v>20</v>
      </c>
      <c r="C118" s="12">
        <v>9</v>
      </c>
      <c r="D118" s="12">
        <v>5</v>
      </c>
      <c r="E118" s="12">
        <v>4</v>
      </c>
      <c r="F118" s="12">
        <v>70.136127948760901</v>
      </c>
      <c r="G118" s="12">
        <v>8.4620769023895193</v>
      </c>
      <c r="H118" s="12">
        <v>58.171441078186</v>
      </c>
      <c r="I118" s="12">
        <v>461.18597261367597</v>
      </c>
      <c r="J118" s="12" t="s">
        <v>333</v>
      </c>
      <c r="K118" t="s">
        <v>469</v>
      </c>
      <c r="M118" s="12">
        <v>31.421550989151001</v>
      </c>
      <c r="N118" s="12">
        <v>5.5544096700000001</v>
      </c>
      <c r="O118" s="12">
        <v>25.867141319150999</v>
      </c>
      <c r="P118" s="12">
        <v>19.256023788</v>
      </c>
      <c r="Q118" s="12">
        <v>3.3407239729999998</v>
      </c>
      <c r="R118" s="12">
        <v>7.3955502839999996</v>
      </c>
      <c r="S118" s="12">
        <v>461.18597261367597</v>
      </c>
      <c r="T118" s="12" t="s">
        <v>333</v>
      </c>
      <c r="W118" s="12">
        <v>616.02536281402399</v>
      </c>
    </row>
    <row r="119" spans="1:23" x14ac:dyDescent="0.2">
      <c r="A119" s="12" t="s">
        <v>497</v>
      </c>
      <c r="B119" s="12">
        <v>20</v>
      </c>
      <c r="C119" s="12">
        <v>9</v>
      </c>
      <c r="D119" s="12">
        <v>5</v>
      </c>
      <c r="E119" s="12">
        <v>4</v>
      </c>
      <c r="F119" s="12">
        <v>77.571542024612398</v>
      </c>
      <c r="G119" s="12">
        <v>8.4938359260558993</v>
      </c>
      <c r="H119" s="12">
        <v>65.564517021179199</v>
      </c>
      <c r="I119" s="12">
        <v>464.440180880855</v>
      </c>
      <c r="J119" s="12" t="s">
        <v>333</v>
      </c>
      <c r="K119" t="s">
        <v>469</v>
      </c>
      <c r="M119" s="12">
        <v>44.7477931976318</v>
      </c>
      <c r="N119" s="12">
        <v>5.5237521789999997</v>
      </c>
      <c r="O119" s="12">
        <v>39.224041018631802</v>
      </c>
      <c r="P119" s="12">
        <v>19.099864333999999</v>
      </c>
      <c r="Q119" s="12">
        <v>4.5043671940000003</v>
      </c>
      <c r="R119" s="12">
        <v>19.721712668999999</v>
      </c>
      <c r="S119" s="12">
        <v>464.440180880855</v>
      </c>
      <c r="T119" s="12" t="s">
        <v>333</v>
      </c>
      <c r="W119" s="12">
        <v>514.76924282361597</v>
      </c>
    </row>
    <row r="120" spans="1:23" x14ac:dyDescent="0.2">
      <c r="A120" s="12" t="s">
        <v>499</v>
      </c>
      <c r="B120" s="12">
        <v>20</v>
      </c>
      <c r="C120" s="12">
        <v>9</v>
      </c>
      <c r="D120" s="12">
        <v>5</v>
      </c>
      <c r="E120" s="12">
        <v>4</v>
      </c>
      <c r="F120" s="12">
        <v>134.53224396705599</v>
      </c>
      <c r="G120" s="12">
        <v>8.5233049392700195</v>
      </c>
      <c r="H120" s="12">
        <v>122.490041971206</v>
      </c>
      <c r="I120" s="12">
        <v>459.00123728821598</v>
      </c>
      <c r="J120" s="12" t="s">
        <v>333</v>
      </c>
      <c r="K120" t="s">
        <v>469</v>
      </c>
      <c r="M120" s="12">
        <v>35.926574945449801</v>
      </c>
      <c r="N120" s="12">
        <v>5.5197211030000002</v>
      </c>
      <c r="O120" s="12">
        <v>30.406853842449799</v>
      </c>
      <c r="P120" s="12">
        <v>18.441114042999999</v>
      </c>
      <c r="Q120" s="12">
        <v>6.6552665769999901</v>
      </c>
      <c r="R120" s="12">
        <v>9.4084078279999996</v>
      </c>
      <c r="S120" s="12">
        <v>465.87526447958601</v>
      </c>
      <c r="T120" s="12" t="s">
        <v>333</v>
      </c>
      <c r="W120" s="12">
        <v>448.68246799751</v>
      </c>
    </row>
    <row r="121" spans="1:23" x14ac:dyDescent="0.2">
      <c r="A121" s="12" t="s">
        <v>501</v>
      </c>
      <c r="B121" s="12">
        <v>20</v>
      </c>
      <c r="C121" s="12">
        <v>9</v>
      </c>
      <c r="D121" s="12">
        <v>5</v>
      </c>
      <c r="E121" s="12">
        <v>4</v>
      </c>
      <c r="F121" s="12">
        <v>40.028718948364201</v>
      </c>
      <c r="G121" s="12">
        <v>8.4940590858459402</v>
      </c>
      <c r="H121" s="12">
        <v>28.038452863693198</v>
      </c>
      <c r="I121" s="12">
        <v>391.92383365874599</v>
      </c>
      <c r="J121" s="12" t="s">
        <v>333</v>
      </c>
      <c r="K121" t="s">
        <v>469</v>
      </c>
      <c r="M121" s="12">
        <v>30.694822072982699</v>
      </c>
      <c r="N121" s="12">
        <v>5.5160207549999898</v>
      </c>
      <c r="O121" s="12">
        <v>25.1788013179827</v>
      </c>
      <c r="P121" s="12">
        <v>18.765081072000001</v>
      </c>
      <c r="Q121" s="12">
        <v>10.669866165</v>
      </c>
      <c r="R121" s="12">
        <v>0</v>
      </c>
      <c r="S121" s="12">
        <v>391.92383365874599</v>
      </c>
      <c r="T121" s="12" t="s">
        <v>333</v>
      </c>
      <c r="W121" s="12">
        <v>586.56707360615201</v>
      </c>
    </row>
    <row r="122" spans="1:23" x14ac:dyDescent="0.2">
      <c r="A122" s="12" t="s">
        <v>503</v>
      </c>
      <c r="B122" s="12">
        <v>20</v>
      </c>
      <c r="C122" s="12">
        <v>9</v>
      </c>
      <c r="D122" s="12">
        <v>5</v>
      </c>
      <c r="E122" s="12">
        <v>4</v>
      </c>
      <c r="F122" s="12">
        <v>36.396360874175997</v>
      </c>
      <c r="G122" s="12">
        <v>8.44805908203125</v>
      </c>
      <c r="H122" s="12">
        <v>24.449504137039099</v>
      </c>
      <c r="I122" s="12">
        <v>488.60736872941902</v>
      </c>
      <c r="J122" s="12" t="s">
        <v>333</v>
      </c>
      <c r="K122" t="s">
        <v>469</v>
      </c>
      <c r="M122" s="12">
        <v>30.822813987731902</v>
      </c>
      <c r="N122" s="12">
        <v>5.5235185959999997</v>
      </c>
      <c r="O122" s="12">
        <v>25.299295391731899</v>
      </c>
      <c r="P122" s="12">
        <v>18.934928033999999</v>
      </c>
      <c r="Q122" s="12">
        <v>3.8658076829999999</v>
      </c>
      <c r="R122" s="12">
        <v>6.6022116139999998</v>
      </c>
      <c r="S122" s="12">
        <v>488.60736872941902</v>
      </c>
      <c r="T122" s="12" t="s">
        <v>333</v>
      </c>
      <c r="W122" s="12">
        <v>495.28631006519203</v>
      </c>
    </row>
    <row r="123" spans="1:23" x14ac:dyDescent="0.2">
      <c r="A123" s="12" t="s">
        <v>505</v>
      </c>
      <c r="B123" s="12">
        <v>20</v>
      </c>
      <c r="C123" s="12">
        <v>9</v>
      </c>
      <c r="D123" s="12">
        <v>5</v>
      </c>
      <c r="E123" s="12">
        <v>4</v>
      </c>
      <c r="F123" s="12">
        <v>28.812196969985902</v>
      </c>
      <c r="G123" s="12">
        <v>8.5737628936767507</v>
      </c>
      <c r="H123" s="12">
        <v>16.714379072189299</v>
      </c>
      <c r="I123" s="12">
        <v>487.74017876631802</v>
      </c>
      <c r="J123" s="12" t="s">
        <v>333</v>
      </c>
      <c r="K123" t="s">
        <v>469</v>
      </c>
      <c r="M123" s="12">
        <v>32.428006172180098</v>
      </c>
      <c r="N123" s="12">
        <v>5.7915294579999896</v>
      </c>
      <c r="O123" s="12">
        <v>26.636476714180102</v>
      </c>
      <c r="P123" s="12">
        <v>20.001761519999999</v>
      </c>
      <c r="Q123" s="12">
        <v>3.0040559770000002</v>
      </c>
      <c r="R123" s="12">
        <v>7.934238734</v>
      </c>
      <c r="S123" s="12">
        <v>487.74017876631802</v>
      </c>
      <c r="T123" s="12" t="s">
        <v>333</v>
      </c>
      <c r="W123" s="12">
        <v>414.34991048903402</v>
      </c>
    </row>
    <row r="124" spans="1:23" x14ac:dyDescent="0.2">
      <c r="A124" s="12" t="s">
        <v>507</v>
      </c>
      <c r="B124" s="12">
        <v>20</v>
      </c>
      <c r="C124" s="12">
        <v>9</v>
      </c>
      <c r="D124" s="12">
        <v>5</v>
      </c>
      <c r="E124" s="12">
        <v>4</v>
      </c>
      <c r="F124" s="12">
        <v>28.412073135375898</v>
      </c>
      <c r="G124" s="12">
        <v>8.4910130500793404</v>
      </c>
      <c r="H124" s="12">
        <v>16.405683994293199</v>
      </c>
      <c r="I124" s="12">
        <v>462.05952482897902</v>
      </c>
      <c r="J124" s="12" t="s">
        <v>333</v>
      </c>
      <c r="K124" t="s">
        <v>469</v>
      </c>
      <c r="M124" s="12">
        <v>38.110959053039501</v>
      </c>
      <c r="N124" s="12">
        <v>5.5342191459999999</v>
      </c>
      <c r="O124" s="12">
        <v>32.576739907039503</v>
      </c>
      <c r="P124" s="12">
        <v>19.264571864000001</v>
      </c>
      <c r="Q124" s="12">
        <v>12.64140426</v>
      </c>
      <c r="R124" s="12">
        <v>4.7741505799999997</v>
      </c>
      <c r="S124" s="12">
        <v>462.05952482897902</v>
      </c>
      <c r="T124" s="12" t="s">
        <v>333</v>
      </c>
      <c r="W124" s="12">
        <v>558.08013088314203</v>
      </c>
    </row>
    <row r="125" spans="1:23" x14ac:dyDescent="0.2">
      <c r="A125" s="12" t="s">
        <v>509</v>
      </c>
      <c r="B125" s="12">
        <v>20</v>
      </c>
      <c r="C125" s="12">
        <v>9</v>
      </c>
      <c r="D125" s="12">
        <v>5</v>
      </c>
      <c r="E125" s="12">
        <v>4</v>
      </c>
      <c r="F125" s="12">
        <v>68.295993804931598</v>
      </c>
      <c r="G125" s="12">
        <v>8.6407799720764107</v>
      </c>
      <c r="H125" s="12">
        <v>56.107477903365996</v>
      </c>
      <c r="I125" s="12">
        <v>478.65514820560901</v>
      </c>
      <c r="J125" s="12" t="s">
        <v>333</v>
      </c>
      <c r="K125" t="s">
        <v>469</v>
      </c>
      <c r="M125" s="12">
        <v>31.2550930976867</v>
      </c>
      <c r="N125" s="12">
        <v>5.5429686230000002</v>
      </c>
      <c r="O125" s="12">
        <v>25.7121244746867</v>
      </c>
      <c r="P125" s="12">
        <v>18.646259595</v>
      </c>
      <c r="Q125" s="12">
        <v>3.6085193520000001</v>
      </c>
      <c r="R125" s="12">
        <v>7.5785270039999997</v>
      </c>
      <c r="S125" s="12">
        <v>479.56730727417499</v>
      </c>
      <c r="T125" s="12" t="s">
        <v>333</v>
      </c>
      <c r="W125" s="12">
        <v>529.94643104355396</v>
      </c>
    </row>
    <row r="126" spans="1:23" x14ac:dyDescent="0.2">
      <c r="A126" s="12" t="s">
        <v>511</v>
      </c>
      <c r="B126" s="12">
        <v>20</v>
      </c>
      <c r="C126" s="12">
        <v>9</v>
      </c>
      <c r="D126" s="12">
        <v>5</v>
      </c>
      <c r="E126" s="12">
        <v>5</v>
      </c>
      <c r="F126" s="12">
        <v>24.229618072509702</v>
      </c>
      <c r="G126" s="12">
        <v>8.6408569812774605</v>
      </c>
      <c r="H126" s="12">
        <v>12.0335900783538</v>
      </c>
      <c r="I126" s="12">
        <v>436.30908616156</v>
      </c>
      <c r="J126" s="12" t="s">
        <v>333</v>
      </c>
      <c r="K126" t="s">
        <v>469</v>
      </c>
      <c r="M126" s="12">
        <v>35.2316570281982</v>
      </c>
      <c r="N126" s="12">
        <v>5.5577830409999898</v>
      </c>
      <c r="O126" s="12">
        <v>29.673873987198199</v>
      </c>
      <c r="P126" s="12">
        <v>19.330505863999999</v>
      </c>
      <c r="Q126" s="12">
        <v>2.8928331350000001</v>
      </c>
      <c r="R126" s="12">
        <v>11.557781899</v>
      </c>
      <c r="S126" s="12">
        <v>436.30908616156</v>
      </c>
      <c r="T126" s="12" t="s">
        <v>333</v>
      </c>
      <c r="W126" s="12">
        <v>386.18314775412199</v>
      </c>
    </row>
    <row r="127" spans="1:23" x14ac:dyDescent="0.2">
      <c r="A127" s="12" t="s">
        <v>473</v>
      </c>
      <c r="B127" s="12">
        <v>20</v>
      </c>
      <c r="C127" s="12">
        <v>9</v>
      </c>
      <c r="D127" s="12">
        <v>5</v>
      </c>
      <c r="E127" s="12">
        <v>4</v>
      </c>
      <c r="F127" s="12">
        <v>141.34391903877199</v>
      </c>
      <c r="G127" s="12">
        <v>8.5049021244049001</v>
      </c>
      <c r="H127" s="12">
        <v>129.31903696060101</v>
      </c>
      <c r="I127" s="12">
        <v>475.60983552944498</v>
      </c>
      <c r="J127" s="12" t="s">
        <v>333</v>
      </c>
      <c r="K127" t="s">
        <v>469</v>
      </c>
      <c r="M127" s="12">
        <v>64.674979925155597</v>
      </c>
      <c r="N127" s="12">
        <v>5.614827</v>
      </c>
      <c r="O127" s="12">
        <v>59.060152925155599</v>
      </c>
      <c r="P127" s="12">
        <v>29.892893526000002</v>
      </c>
      <c r="Q127" s="12">
        <v>3.0664284789999998</v>
      </c>
      <c r="R127" s="12">
        <v>30.269167750000001</v>
      </c>
      <c r="S127" s="12">
        <v>475.60983552944498</v>
      </c>
      <c r="T127" s="12" t="s">
        <v>333</v>
      </c>
      <c r="W127" s="12">
        <v>601.03903611107296</v>
      </c>
    </row>
    <row r="128" spans="1:23" s="33" customFormat="1" x14ac:dyDescent="0.2">
      <c r="A128" s="35"/>
      <c r="B128" s="35">
        <v>20</v>
      </c>
      <c r="C128" s="35">
        <v>9</v>
      </c>
      <c r="D128" s="35">
        <v>5</v>
      </c>
      <c r="E128" s="35"/>
      <c r="F128" s="35">
        <f>AVERAGE(F108:F127)</f>
        <v>60.150922393798702</v>
      </c>
      <c r="G128" s="35">
        <f t="shared" ref="G128:I128" si="9">AVERAGE(G108:G127)</f>
        <v>8.520271480083462</v>
      </c>
      <c r="H128" s="35">
        <f t="shared" si="9"/>
        <v>48.113010442256794</v>
      </c>
      <c r="I128" s="35">
        <f t="shared" si="9"/>
        <v>463.83889139752466</v>
      </c>
      <c r="J128" s="35"/>
      <c r="M128" s="35">
        <f>AVERAGE(M108:M127)</f>
        <v>35.953204023838005</v>
      </c>
      <c r="N128" s="35">
        <f t="shared" ref="N128:S128" si="10">AVERAGE(N108:N127)</f>
        <v>5.5697968275999976</v>
      </c>
      <c r="O128" s="35">
        <f t="shared" si="10"/>
        <v>30.383407196238004</v>
      </c>
      <c r="P128" s="35">
        <f t="shared" si="10"/>
        <v>19.597311263849999</v>
      </c>
      <c r="Q128" s="35">
        <f t="shared" si="10"/>
        <v>4.2963190868499996</v>
      </c>
      <c r="R128" s="35">
        <f t="shared" si="10"/>
        <v>10.628122926999998</v>
      </c>
      <c r="S128" s="35">
        <f t="shared" si="10"/>
        <v>464.40744501194206</v>
      </c>
      <c r="T128" s="35"/>
      <c r="W128" s="33">
        <f>AVERAGE(W108:W127)</f>
        <v>506.32831497004389</v>
      </c>
    </row>
    <row r="129" spans="1:23" s="33" customFormat="1" x14ac:dyDescent="0.2">
      <c r="A129" s="33">
        <f>COUNTA(#REF!)</f>
        <v>1</v>
      </c>
      <c r="F129" s="33">
        <f>AVERAGE(F108:F127,F87:F106,F66:F85)</f>
        <v>40.058760794003753</v>
      </c>
      <c r="G129" s="33">
        <f t="shared" ref="G129:S129" si="11">AVERAGE(G108:G127,G87:G106,G66:G85)</f>
        <v>8.5172941207885735</v>
      </c>
      <c r="H129" s="33">
        <f t="shared" si="11"/>
        <v>28.026048596699979</v>
      </c>
      <c r="I129" s="33">
        <f t="shared" si="11"/>
        <v>450.32100322172522</v>
      </c>
      <c r="M129" s="33">
        <f t="shared" si="11"/>
        <v>29.156233719984666</v>
      </c>
      <c r="N129" s="33">
        <f t="shared" si="11"/>
        <v>5.5811279900166646</v>
      </c>
      <c r="O129" s="33">
        <f t="shared" si="11"/>
        <v>23.575105729967991</v>
      </c>
      <c r="P129" s="33">
        <f t="shared" si="11"/>
        <v>14.410091652450001</v>
      </c>
      <c r="Q129" s="33">
        <f t="shared" si="11"/>
        <v>3.8777155580666642</v>
      </c>
      <c r="R129" s="33">
        <f t="shared" si="11"/>
        <v>9.4555690359500009</v>
      </c>
      <c r="S129" s="33">
        <f t="shared" si="11"/>
        <v>451.18532686252286</v>
      </c>
      <c r="W129" s="33">
        <f>AVERAGE(W66:W85,W87:W106,W108:W127)</f>
        <v>509.28268449064296</v>
      </c>
    </row>
    <row r="130" spans="1:23" x14ac:dyDescent="0.2">
      <c r="A130" s="12" t="s">
        <v>127</v>
      </c>
      <c r="B130" s="12"/>
      <c r="C130" s="11">
        <v>4</v>
      </c>
      <c r="D130" s="11">
        <v>2</v>
      </c>
      <c r="E130" s="11">
        <v>7</v>
      </c>
      <c r="F130" s="12">
        <v>32.148627996444702</v>
      </c>
      <c r="G130" s="12">
        <v>9.1256349086761404</v>
      </c>
      <c r="H130" s="12">
        <v>18.882795095443701</v>
      </c>
      <c r="I130" s="12">
        <v>614.85426275946395</v>
      </c>
      <c r="K130" t="s">
        <v>469</v>
      </c>
      <c r="M130" s="11">
        <v>39.1048998832702</v>
      </c>
      <c r="N130" s="11">
        <v>5.9122242140000001</v>
      </c>
      <c r="O130" s="11">
        <v>33.192675669270201</v>
      </c>
      <c r="P130" s="11">
        <v>12.304620938999999</v>
      </c>
      <c r="Q130" s="11">
        <v>5.5765083339999997</v>
      </c>
      <c r="R130" s="11">
        <v>19.726224168000002</v>
      </c>
      <c r="S130" s="11">
        <v>614.85426275938801</v>
      </c>
      <c r="T130" s="11" t="s">
        <v>333</v>
      </c>
      <c r="U130" t="s">
        <v>469</v>
      </c>
    </row>
    <row r="131" spans="1:23" x14ac:dyDescent="0.2">
      <c r="A131" s="12" t="s">
        <v>132</v>
      </c>
      <c r="B131" s="12"/>
      <c r="C131" s="12">
        <v>4</v>
      </c>
      <c r="D131" s="12">
        <v>2</v>
      </c>
      <c r="E131" s="12">
        <v>8</v>
      </c>
      <c r="F131" s="12">
        <v>43.171558856964097</v>
      </c>
      <c r="G131" s="12">
        <v>9.0616579055786097</v>
      </c>
      <c r="H131" s="12">
        <v>30.1524639129638</v>
      </c>
      <c r="I131" s="12">
        <v>604.43098366082904</v>
      </c>
      <c r="K131" t="s">
        <v>469</v>
      </c>
      <c r="M131" s="12">
        <v>35.096078157424898</v>
      </c>
      <c r="N131" s="12">
        <v>6.4408527380000002</v>
      </c>
      <c r="O131" s="12">
        <v>28.655225419424902</v>
      </c>
      <c r="P131" s="12">
        <v>13.347598312000001</v>
      </c>
      <c r="Q131" s="12">
        <v>5.2077109479999999</v>
      </c>
      <c r="R131" s="12">
        <v>14.897540144000001</v>
      </c>
      <c r="S131" s="12">
        <v>604.43098366082904</v>
      </c>
      <c r="T131" s="12" t="s">
        <v>333</v>
      </c>
      <c r="U131" t="s">
        <v>469</v>
      </c>
    </row>
    <row r="132" spans="1:23" x14ac:dyDescent="0.2">
      <c r="A132" s="12" t="s">
        <v>136</v>
      </c>
      <c r="B132" s="12"/>
      <c r="C132" s="12">
        <v>4</v>
      </c>
      <c r="D132" s="12">
        <v>2</v>
      </c>
      <c r="E132" s="12">
        <v>8</v>
      </c>
      <c r="F132" s="12">
        <v>40.510666131973203</v>
      </c>
      <c r="G132" s="12">
        <v>8.8914780616760201</v>
      </c>
      <c r="H132" s="12">
        <v>28.441164016723601</v>
      </c>
      <c r="I132" s="12">
        <v>625.33721688231606</v>
      </c>
      <c r="K132" t="s">
        <v>469</v>
      </c>
      <c r="M132" s="12">
        <v>39.0817000865936</v>
      </c>
      <c r="N132" s="12">
        <v>12.823311802999999</v>
      </c>
      <c r="O132" s="12">
        <v>26.2583882835936</v>
      </c>
      <c r="P132" s="12">
        <v>19.828024402</v>
      </c>
      <c r="Q132" s="12">
        <v>4.8250540639999997</v>
      </c>
      <c r="R132" s="12">
        <v>12.668527204</v>
      </c>
      <c r="S132" s="12">
        <v>625.80253431226299</v>
      </c>
      <c r="T132" s="12" t="s">
        <v>333</v>
      </c>
      <c r="U132" t="s">
        <v>469</v>
      </c>
    </row>
    <row r="133" spans="1:23" x14ac:dyDescent="0.2">
      <c r="A133" s="12" t="s">
        <v>140</v>
      </c>
      <c r="B133" s="12"/>
      <c r="C133" s="12">
        <v>4</v>
      </c>
      <c r="D133" s="12">
        <v>2</v>
      </c>
      <c r="E133" s="12">
        <v>7</v>
      </c>
      <c r="F133" s="12">
        <v>21.828516960144</v>
      </c>
      <c r="G133" s="12">
        <v>8.5551629066467196</v>
      </c>
      <c r="H133" s="12">
        <v>9.4497048854827792</v>
      </c>
      <c r="I133" s="12">
        <v>580.596110855897</v>
      </c>
      <c r="K133" t="s">
        <v>469</v>
      </c>
      <c r="M133" s="12">
        <v>23.775060892105099</v>
      </c>
      <c r="N133" s="12">
        <v>5.5079387099999897</v>
      </c>
      <c r="O133" s="12">
        <v>18.267122182105101</v>
      </c>
      <c r="P133" s="12">
        <v>11.469454541999999</v>
      </c>
      <c r="Q133" s="12">
        <v>3.6526338100000002</v>
      </c>
      <c r="R133" s="12">
        <v>7.2637321960000003</v>
      </c>
      <c r="S133" s="12">
        <v>580.59611085589597</v>
      </c>
      <c r="T133" s="12" t="s">
        <v>333</v>
      </c>
      <c r="U133" t="s">
        <v>469</v>
      </c>
    </row>
    <row r="134" spans="1:23" x14ac:dyDescent="0.2">
      <c r="A134" s="12" t="s">
        <v>143</v>
      </c>
      <c r="B134" s="12"/>
      <c r="C134" s="12">
        <v>4</v>
      </c>
      <c r="D134" s="12">
        <v>2</v>
      </c>
      <c r="E134" s="12">
        <v>7</v>
      </c>
      <c r="F134" s="12">
        <v>32.514884948730398</v>
      </c>
      <c r="G134" s="12">
        <v>8.5683510303497297</v>
      </c>
      <c r="H134" s="12">
        <v>20.1302409172058</v>
      </c>
      <c r="I134" s="12">
        <v>587.46557936022396</v>
      </c>
      <c r="K134" t="s">
        <v>469</v>
      </c>
      <c r="M134" s="12">
        <v>24.5041408538818</v>
      </c>
      <c r="N134" s="12">
        <v>5.5339070999999898</v>
      </c>
      <c r="O134" s="12">
        <v>18.9702337538818</v>
      </c>
      <c r="P134" s="12">
        <v>11.558995253999999</v>
      </c>
      <c r="Q134" s="12">
        <v>4.0168669389999998</v>
      </c>
      <c r="R134" s="12">
        <v>7.515976674</v>
      </c>
      <c r="S134" s="12">
        <v>587.46557941057097</v>
      </c>
      <c r="T134" s="12" t="s">
        <v>333</v>
      </c>
      <c r="U134" t="s">
        <v>469</v>
      </c>
    </row>
    <row r="135" spans="1:23" x14ac:dyDescent="0.2">
      <c r="A135" s="12" t="s">
        <v>147</v>
      </c>
      <c r="B135" s="12"/>
      <c r="C135" s="12">
        <v>4</v>
      </c>
      <c r="D135" s="12">
        <v>2</v>
      </c>
      <c r="E135" s="12">
        <v>7</v>
      </c>
      <c r="F135" s="12">
        <v>645.94056010246197</v>
      </c>
      <c r="G135" s="12">
        <v>8.6959969997406006</v>
      </c>
      <c r="H135" s="12">
        <v>633.42733812332096</v>
      </c>
      <c r="I135" s="12">
        <v>610.60365361303195</v>
      </c>
      <c r="K135" t="s">
        <v>469</v>
      </c>
      <c r="M135" s="12">
        <v>2183.6639931201898</v>
      </c>
      <c r="N135" s="12">
        <v>5.5172946249999999</v>
      </c>
      <c r="O135" s="12">
        <v>2178.1466984951899</v>
      </c>
      <c r="P135" s="12">
        <v>11.497474848</v>
      </c>
      <c r="Q135" s="12">
        <v>4.0935670389999999</v>
      </c>
      <c r="R135" s="12">
        <v>2166.6774603949998</v>
      </c>
      <c r="S135" s="12">
        <v>610.60365361303104</v>
      </c>
      <c r="T135" s="12" t="s">
        <v>333</v>
      </c>
      <c r="U135" t="s">
        <v>469</v>
      </c>
    </row>
    <row r="136" spans="1:23" x14ac:dyDescent="0.2">
      <c r="A136" s="12" t="s">
        <v>151</v>
      </c>
      <c r="B136" s="12"/>
      <c r="C136" s="12">
        <v>4</v>
      </c>
      <c r="D136" s="12">
        <v>2</v>
      </c>
      <c r="E136" s="12">
        <v>7</v>
      </c>
      <c r="F136" s="12">
        <v>139.05748009681699</v>
      </c>
      <c r="G136" s="12">
        <v>8.5848901271819997</v>
      </c>
      <c r="H136" s="12">
        <v>126.682417869567</v>
      </c>
      <c r="I136" s="12">
        <v>593.39961695471504</v>
      </c>
      <c r="K136" t="s">
        <v>469</v>
      </c>
      <c r="M136" s="12">
        <v>32.716767072677598</v>
      </c>
      <c r="N136" s="12">
        <v>5.5099489689999999</v>
      </c>
      <c r="O136" s="12">
        <v>27.206818103677598</v>
      </c>
      <c r="P136" s="12">
        <v>11.488820279</v>
      </c>
      <c r="Q136" s="12">
        <v>4.6273478560000001</v>
      </c>
      <c r="R136" s="12">
        <v>15.211629193</v>
      </c>
      <c r="S136" s="12">
        <v>593.39961695471504</v>
      </c>
      <c r="T136" s="12" t="s">
        <v>333</v>
      </c>
      <c r="U136" t="s">
        <v>469</v>
      </c>
    </row>
    <row r="137" spans="1:23" x14ac:dyDescent="0.2">
      <c r="A137" s="12" t="s">
        <v>154</v>
      </c>
      <c r="B137" s="12"/>
      <c r="C137" s="12">
        <v>4</v>
      </c>
      <c r="D137" s="12">
        <v>2</v>
      </c>
      <c r="E137" s="12">
        <v>7</v>
      </c>
      <c r="F137" s="12">
        <v>107.382321119308</v>
      </c>
      <c r="G137" s="12">
        <v>8.3251891136169398</v>
      </c>
      <c r="H137" s="12">
        <v>95.284131050109806</v>
      </c>
      <c r="I137" s="12">
        <v>621.45718928799397</v>
      </c>
      <c r="K137" t="s">
        <v>469</v>
      </c>
      <c r="M137" s="12">
        <v>75.333704948425293</v>
      </c>
      <c r="N137" s="12">
        <v>5.5117469769999996</v>
      </c>
      <c r="O137" s="12">
        <v>69.821957971425206</v>
      </c>
      <c r="P137" s="12">
        <v>11.440080945</v>
      </c>
      <c r="Q137" s="12">
        <v>3.5991683449999998</v>
      </c>
      <c r="R137" s="12">
        <v>58.894550371000001</v>
      </c>
      <c r="S137" s="12">
        <v>621.45718929618897</v>
      </c>
      <c r="T137" s="12" t="s">
        <v>333</v>
      </c>
      <c r="U137" t="s">
        <v>469</v>
      </c>
    </row>
    <row r="138" spans="1:23" x14ac:dyDescent="0.2">
      <c r="A138" s="12" t="s">
        <v>157</v>
      </c>
      <c r="B138" s="12"/>
      <c r="C138" s="12">
        <v>4</v>
      </c>
      <c r="D138" s="12">
        <v>2</v>
      </c>
      <c r="E138" s="12">
        <v>7</v>
      </c>
      <c r="F138" s="12">
        <v>70.105005979537907</v>
      </c>
      <c r="G138" s="12">
        <v>8.4759418964385898</v>
      </c>
      <c r="H138" s="12">
        <v>57.788078069686797</v>
      </c>
      <c r="I138" s="12">
        <v>601.56933216000004</v>
      </c>
      <c r="K138" t="s">
        <v>469</v>
      </c>
      <c r="M138" s="12">
        <v>28.3056509494781</v>
      </c>
      <c r="N138" s="12">
        <v>5.5319679900000001</v>
      </c>
      <c r="O138" s="12">
        <v>22.773682959478101</v>
      </c>
      <c r="P138" s="12">
        <v>11.535424336</v>
      </c>
      <c r="Q138" s="12">
        <v>4.096854617</v>
      </c>
      <c r="R138" s="12">
        <v>11.266287255</v>
      </c>
      <c r="S138" s="12">
        <v>601.56933214826802</v>
      </c>
      <c r="T138" s="12" t="s">
        <v>333</v>
      </c>
      <c r="U138" t="s">
        <v>469</v>
      </c>
    </row>
    <row r="139" spans="1:23" x14ac:dyDescent="0.2">
      <c r="A139" s="12" t="s">
        <v>161</v>
      </c>
      <c r="B139" s="12"/>
      <c r="C139" s="12">
        <v>4</v>
      </c>
      <c r="D139" s="12">
        <v>2</v>
      </c>
      <c r="E139" s="12">
        <v>6</v>
      </c>
      <c r="F139" s="12">
        <v>87.419045925140296</v>
      </c>
      <c r="G139" s="12">
        <v>8.6313788890838605</v>
      </c>
      <c r="H139" s="12">
        <v>74.897087812423706</v>
      </c>
      <c r="I139" s="12">
        <v>580.46824533446795</v>
      </c>
      <c r="K139" t="s">
        <v>469</v>
      </c>
      <c r="M139" s="12">
        <v>41.261466026306103</v>
      </c>
      <c r="N139" s="12">
        <v>5.5220210629999897</v>
      </c>
      <c r="O139" s="12">
        <v>35.739444963306099</v>
      </c>
      <c r="P139" s="12">
        <v>11.503075559999999</v>
      </c>
      <c r="Q139" s="12">
        <v>5.694212813</v>
      </c>
      <c r="R139" s="12">
        <v>22.673708289</v>
      </c>
      <c r="S139" s="12">
        <v>580.46824533446795</v>
      </c>
      <c r="T139" s="12" t="s">
        <v>333</v>
      </c>
      <c r="U139" t="s">
        <v>469</v>
      </c>
    </row>
    <row r="140" spans="1:23" x14ac:dyDescent="0.2">
      <c r="A140" s="12" t="s">
        <v>164</v>
      </c>
      <c r="B140" s="12"/>
      <c r="C140" s="12">
        <v>4</v>
      </c>
      <c r="D140" s="12">
        <v>2</v>
      </c>
      <c r="E140" s="12">
        <v>6</v>
      </c>
      <c r="F140" s="12">
        <v>62.672445058822603</v>
      </c>
      <c r="G140" s="12">
        <v>8.6770129203796298</v>
      </c>
      <c r="H140" s="12">
        <v>50.181123971939002</v>
      </c>
      <c r="I140" s="12">
        <v>548.77752458700695</v>
      </c>
      <c r="K140" t="s">
        <v>469</v>
      </c>
      <c r="M140" s="12">
        <v>969.12067604064896</v>
      </c>
      <c r="N140" s="12">
        <v>6.4462036119999997</v>
      </c>
      <c r="O140" s="12">
        <v>962.67447242864898</v>
      </c>
      <c r="P140" s="12">
        <v>13.305653833999999</v>
      </c>
      <c r="Q140" s="12">
        <v>11.510850310999899</v>
      </c>
      <c r="R140" s="12">
        <v>942.65749075099995</v>
      </c>
      <c r="S140" s="12">
        <v>548.77752458700695</v>
      </c>
      <c r="T140" s="12" t="s">
        <v>333</v>
      </c>
      <c r="U140" t="s">
        <v>469</v>
      </c>
    </row>
    <row r="141" spans="1:23" x14ac:dyDescent="0.2">
      <c r="A141" s="12" t="s">
        <v>168</v>
      </c>
      <c r="B141" s="12"/>
      <c r="C141" s="12">
        <v>4</v>
      </c>
      <c r="D141" s="12">
        <v>2</v>
      </c>
      <c r="E141" s="12">
        <v>7</v>
      </c>
      <c r="F141" s="12">
        <v>155.60394120216301</v>
      </c>
      <c r="G141" s="12">
        <v>8.3946080207824707</v>
      </c>
      <c r="H141" s="12">
        <v>143.45955991744901</v>
      </c>
      <c r="I141" s="12">
        <v>594.34685666156497</v>
      </c>
      <c r="K141" t="s">
        <v>469</v>
      </c>
      <c r="M141" s="12">
        <v>45.357841014861997</v>
      </c>
      <c r="N141" s="12">
        <v>5.5301665059999996</v>
      </c>
      <c r="O141" s="12">
        <v>39.827674508862003</v>
      </c>
      <c r="P141" s="12">
        <v>11.517024219</v>
      </c>
      <c r="Q141" s="12">
        <v>4.4489364130000002</v>
      </c>
      <c r="R141" s="12">
        <v>27.988480119999998</v>
      </c>
      <c r="S141" s="12">
        <v>594.34685666145504</v>
      </c>
      <c r="T141" s="12" t="s">
        <v>333</v>
      </c>
      <c r="U141" t="s">
        <v>469</v>
      </c>
    </row>
    <row r="142" spans="1:23" x14ac:dyDescent="0.2">
      <c r="A142" s="12" t="s">
        <v>172</v>
      </c>
      <c r="B142" s="12"/>
      <c r="C142" s="12">
        <v>4</v>
      </c>
      <c r="D142" s="12">
        <v>2</v>
      </c>
      <c r="E142" s="12">
        <v>7</v>
      </c>
      <c r="F142" s="12">
        <v>172.40795397758399</v>
      </c>
      <c r="G142" s="12">
        <v>8.7112348079681396</v>
      </c>
      <c r="H142" s="12">
        <v>159.85910201072599</v>
      </c>
      <c r="I142" s="12">
        <v>585.99256243495995</v>
      </c>
      <c r="K142" t="s">
        <v>469</v>
      </c>
      <c r="M142" s="12">
        <v>48.479793071746798</v>
      </c>
      <c r="N142" s="12">
        <v>5.5219160719999998</v>
      </c>
      <c r="O142" s="12">
        <v>42.957876999746802</v>
      </c>
      <c r="P142" s="12">
        <v>11.478720288</v>
      </c>
      <c r="Q142" s="12">
        <v>8.1926172580000003</v>
      </c>
      <c r="R142" s="12">
        <v>27.403834394</v>
      </c>
      <c r="S142" s="12">
        <v>585.99256243495597</v>
      </c>
      <c r="T142" s="12" t="s">
        <v>333</v>
      </c>
      <c r="U142" t="s">
        <v>469</v>
      </c>
    </row>
    <row r="143" spans="1:23" x14ac:dyDescent="0.2">
      <c r="A143" s="12" t="s">
        <v>176</v>
      </c>
      <c r="B143" s="12"/>
      <c r="C143" s="12">
        <v>4</v>
      </c>
      <c r="D143" s="12">
        <v>2</v>
      </c>
      <c r="E143" s="12">
        <v>8</v>
      </c>
      <c r="F143" s="12">
        <v>132.08996415138199</v>
      </c>
      <c r="G143" s="12">
        <v>8.5004310607910103</v>
      </c>
      <c r="H143" s="12">
        <v>119.896944999694</v>
      </c>
      <c r="I143" s="12">
        <v>574.24204541515599</v>
      </c>
      <c r="K143" t="s">
        <v>469</v>
      </c>
      <c r="M143" s="12">
        <v>32.019775867462101</v>
      </c>
      <c r="N143" s="12">
        <v>5.5103352330000002</v>
      </c>
      <c r="O143" s="12">
        <v>26.509440634462099</v>
      </c>
      <c r="P143" s="12">
        <v>11.472412726</v>
      </c>
      <c r="Q143" s="12">
        <v>4.5156817849999999</v>
      </c>
      <c r="R143" s="12">
        <v>14.640091125</v>
      </c>
      <c r="S143" s="12">
        <v>574.24204541515599</v>
      </c>
      <c r="T143" s="12" t="s">
        <v>333</v>
      </c>
      <c r="U143" t="s">
        <v>469</v>
      </c>
    </row>
    <row r="144" spans="1:23" x14ac:dyDescent="0.2">
      <c r="A144" s="12" t="s">
        <v>180</v>
      </c>
      <c r="B144" s="12"/>
      <c r="C144" s="12">
        <v>4</v>
      </c>
      <c r="D144" s="12">
        <v>2</v>
      </c>
      <c r="E144" s="12">
        <v>7</v>
      </c>
      <c r="F144" s="12">
        <v>539.12581205367997</v>
      </c>
      <c r="G144" s="12">
        <v>8.7338259220123202</v>
      </c>
      <c r="H144" s="12">
        <v>526.53382182121197</v>
      </c>
      <c r="I144" s="12">
        <v>581.37177342506004</v>
      </c>
      <c r="K144" t="s">
        <v>469</v>
      </c>
      <c r="M144" s="12">
        <v>36.495189189910803</v>
      </c>
      <c r="N144" s="12">
        <v>5.7696438079999997</v>
      </c>
      <c r="O144" s="12">
        <v>30.725545381910798</v>
      </c>
      <c r="P144" s="12">
        <v>12.005179247999999</v>
      </c>
      <c r="Q144" s="12">
        <v>6.7619225260000002</v>
      </c>
      <c r="R144" s="12">
        <v>16.255905349999999</v>
      </c>
      <c r="S144" s="12">
        <v>581.37177342504503</v>
      </c>
      <c r="T144" s="12" t="s">
        <v>333</v>
      </c>
      <c r="U144" t="s">
        <v>469</v>
      </c>
    </row>
    <row r="145" spans="1:21" x14ac:dyDescent="0.2">
      <c r="A145" s="12" t="s">
        <v>184</v>
      </c>
      <c r="B145" s="12"/>
      <c r="C145" s="12">
        <v>4</v>
      </c>
      <c r="D145" s="12">
        <v>2</v>
      </c>
      <c r="E145" s="12">
        <v>6</v>
      </c>
      <c r="F145" s="12">
        <v>20.143506050109799</v>
      </c>
      <c r="G145" s="12">
        <v>8.5029890537261892</v>
      </c>
      <c r="H145" s="12">
        <v>7.9344840049743599</v>
      </c>
      <c r="I145" s="12">
        <v>556.11062249922998</v>
      </c>
      <c r="K145" t="s">
        <v>469</v>
      </c>
      <c r="M145" s="12">
        <v>26.082441091537401</v>
      </c>
      <c r="N145" s="12">
        <v>5.5811568699999903</v>
      </c>
      <c r="O145" s="12">
        <v>20.5012842215374</v>
      </c>
      <c r="P145" s="12">
        <v>11.600082519000001</v>
      </c>
      <c r="Q145" s="12">
        <v>7.9965492249999999</v>
      </c>
      <c r="R145" s="12">
        <v>5.0773753910000003</v>
      </c>
      <c r="S145" s="12">
        <v>556.11062249922998</v>
      </c>
      <c r="T145" s="12" t="s">
        <v>333</v>
      </c>
      <c r="U145" t="s">
        <v>469</v>
      </c>
    </row>
    <row r="146" spans="1:21" x14ac:dyDescent="0.2">
      <c r="A146" s="12" t="s">
        <v>187</v>
      </c>
      <c r="B146" s="12"/>
      <c r="C146" s="12">
        <v>4</v>
      </c>
      <c r="D146" s="12">
        <v>2</v>
      </c>
      <c r="E146" s="12">
        <v>7</v>
      </c>
      <c r="F146" s="12">
        <v>28.117257118225002</v>
      </c>
      <c r="G146" s="12">
        <v>8.6967170238494802</v>
      </c>
      <c r="H146" s="12">
        <v>15.5687618255615</v>
      </c>
      <c r="I146" s="12">
        <v>603.62183296559897</v>
      </c>
      <c r="K146" t="s">
        <v>469</v>
      </c>
      <c r="M146" s="12">
        <v>24.128840923309301</v>
      </c>
      <c r="N146" s="12">
        <v>5.518757151</v>
      </c>
      <c r="O146" s="12">
        <v>18.610083772309299</v>
      </c>
      <c r="P146" s="12">
        <v>11.504999713</v>
      </c>
      <c r="Q146" s="12">
        <v>4.3361036620000002</v>
      </c>
      <c r="R146" s="12">
        <v>6.8066136029999997</v>
      </c>
      <c r="S146" s="12">
        <v>603.62183296559897</v>
      </c>
      <c r="T146" s="12" t="s">
        <v>333</v>
      </c>
      <c r="U146" t="s">
        <v>469</v>
      </c>
    </row>
    <row r="147" spans="1:21" x14ac:dyDescent="0.2">
      <c r="A147" s="12" t="s">
        <v>190</v>
      </c>
      <c r="B147" s="12"/>
      <c r="C147" s="12">
        <v>4</v>
      </c>
      <c r="D147" s="12">
        <v>2</v>
      </c>
      <c r="E147" s="12">
        <v>7</v>
      </c>
      <c r="F147" s="12">
        <v>34.4022889137268</v>
      </c>
      <c r="G147" s="12">
        <v>8.6591789722442591</v>
      </c>
      <c r="H147" s="12">
        <v>21.913948059081999</v>
      </c>
      <c r="I147" s="12">
        <v>592.13787113389299</v>
      </c>
      <c r="K147" t="s">
        <v>469</v>
      </c>
      <c r="M147" s="12">
        <v>26.044817924499501</v>
      </c>
      <c r="N147" s="12">
        <v>5.9099573479999998</v>
      </c>
      <c r="O147" s="12">
        <v>20.134860576499499</v>
      </c>
      <c r="P147" s="12">
        <v>12.262994307</v>
      </c>
      <c r="Q147" s="12">
        <v>3.8775232959999899</v>
      </c>
      <c r="R147" s="12">
        <v>8.4083496370000006</v>
      </c>
      <c r="S147" s="12">
        <v>592.13787113389299</v>
      </c>
      <c r="T147" s="12" t="s">
        <v>333</v>
      </c>
      <c r="U147" t="s">
        <v>469</v>
      </c>
    </row>
    <row r="148" spans="1:21" x14ac:dyDescent="0.2">
      <c r="A148" s="12" t="s">
        <v>193</v>
      </c>
      <c r="B148" s="12"/>
      <c r="C148" s="12">
        <v>4</v>
      </c>
      <c r="D148" s="12">
        <v>2</v>
      </c>
      <c r="E148" s="12">
        <v>8</v>
      </c>
      <c r="F148" s="12">
        <v>26.363830089568999</v>
      </c>
      <c r="G148" s="12">
        <v>8.8252141475677401</v>
      </c>
      <c r="H148" s="12">
        <v>13.649255990982001</v>
      </c>
      <c r="I148" s="12">
        <v>593.79201706580398</v>
      </c>
      <c r="K148" t="s">
        <v>469</v>
      </c>
      <c r="M148" s="12">
        <v>27.3316090106964</v>
      </c>
      <c r="N148" s="12">
        <v>5.5078204499999996</v>
      </c>
      <c r="O148" s="12">
        <v>21.8237885606964</v>
      </c>
      <c r="P148" s="12">
        <v>11.470197075</v>
      </c>
      <c r="Q148" s="12">
        <v>3.50353144599999</v>
      </c>
      <c r="R148" s="12">
        <v>10.946755202</v>
      </c>
      <c r="S148" s="12">
        <v>593.79201706580398</v>
      </c>
      <c r="T148" s="12" t="s">
        <v>333</v>
      </c>
      <c r="U148" t="s">
        <v>469</v>
      </c>
    </row>
    <row r="149" spans="1:21" x14ac:dyDescent="0.2">
      <c r="A149" s="12" t="s">
        <v>197</v>
      </c>
      <c r="B149" s="12"/>
      <c r="C149" s="12">
        <v>4</v>
      </c>
      <c r="D149" s="12">
        <v>2</v>
      </c>
      <c r="E149" s="12">
        <v>7</v>
      </c>
      <c r="F149" s="12">
        <v>42.509977102279599</v>
      </c>
      <c r="G149" s="12">
        <v>8.6050789356231601</v>
      </c>
      <c r="H149" s="12">
        <v>30.208149909973098</v>
      </c>
      <c r="I149" s="12">
        <v>595.85638509698799</v>
      </c>
      <c r="K149" t="s">
        <v>469</v>
      </c>
      <c r="M149" s="12">
        <v>37.878592967986997</v>
      </c>
      <c r="N149" s="12">
        <v>5.4980513579999997</v>
      </c>
      <c r="O149" s="12">
        <v>32.380541609986999</v>
      </c>
      <c r="P149" s="12">
        <v>11.485417395000001</v>
      </c>
      <c r="Q149" s="12">
        <v>4.3782969889999999</v>
      </c>
      <c r="R149" s="12">
        <v>20.627594985000002</v>
      </c>
      <c r="S149" s="12">
        <v>595.85638509707599</v>
      </c>
      <c r="T149" s="12" t="s">
        <v>333</v>
      </c>
      <c r="U149" t="s">
        <v>469</v>
      </c>
    </row>
    <row r="150" spans="1:21" s="33" customFormat="1" x14ac:dyDescent="0.2">
      <c r="A150" s="35"/>
      <c r="B150" s="35"/>
      <c r="C150" s="35">
        <v>4</v>
      </c>
      <c r="D150" s="35">
        <v>2</v>
      </c>
      <c r="E150" s="35"/>
      <c r="F150" s="35">
        <f>AVERAGE(F130:F149)</f>
        <v>121.6757821917532</v>
      </c>
      <c r="G150" s="35">
        <f t="shared" ref="G150:S150" si="12">AVERAGE(G130:G149)</f>
        <v>8.6610986351966837</v>
      </c>
      <c r="H150" s="35">
        <f t="shared" si="12"/>
        <v>109.21702871322604</v>
      </c>
      <c r="I150" s="35">
        <f t="shared" si="12"/>
        <v>592.3215841077099</v>
      </c>
      <c r="J150" s="35"/>
      <c r="L150" s="35"/>
      <c r="M150" s="35">
        <f t="shared" si="12"/>
        <v>189.78915195465066</v>
      </c>
      <c r="N150" s="35">
        <f t="shared" si="12"/>
        <v>6.0302611298499977</v>
      </c>
      <c r="O150" s="35">
        <f t="shared" si="12"/>
        <v>183.75889082480063</v>
      </c>
      <c r="P150" s="35">
        <f t="shared" si="12"/>
        <v>12.203812537050002</v>
      </c>
      <c r="Q150" s="35">
        <f t="shared" si="12"/>
        <v>5.2455968837999949</v>
      </c>
      <c r="R150" s="35">
        <f t="shared" si="12"/>
        <v>170.88040632234998</v>
      </c>
      <c r="S150" s="35">
        <f t="shared" si="12"/>
        <v>592.34484998154198</v>
      </c>
      <c r="T150" s="35"/>
    </row>
    <row r="151" spans="1:21" x14ac:dyDescent="0.2">
      <c r="A151" s="12" t="s">
        <v>128</v>
      </c>
      <c r="B151" s="12"/>
      <c r="C151" s="12">
        <v>7</v>
      </c>
      <c r="D151" s="12">
        <v>4</v>
      </c>
      <c r="E151" s="12">
        <v>6</v>
      </c>
      <c r="F151" s="12">
        <v>40.062150955200103</v>
      </c>
      <c r="G151" s="12">
        <v>9.0555710792541504</v>
      </c>
      <c r="H151" s="12">
        <v>27.153078079223601</v>
      </c>
      <c r="I151" s="12">
        <v>559.29607437413404</v>
      </c>
      <c r="K151" t="s">
        <v>469</v>
      </c>
      <c r="M151" s="12">
        <v>57.396158933639498</v>
      </c>
      <c r="N151" s="12">
        <v>5.5216481179999999</v>
      </c>
      <c r="O151" s="12">
        <v>51.874510815639503</v>
      </c>
      <c r="P151" s="12">
        <v>13.633718564</v>
      </c>
      <c r="Q151" s="12">
        <v>6.1949577699999896</v>
      </c>
      <c r="R151" s="12">
        <v>36.139683724000001</v>
      </c>
      <c r="S151" s="12">
        <v>559.29607437413404</v>
      </c>
      <c r="T151" s="12" t="s">
        <v>333</v>
      </c>
      <c r="U151" t="s">
        <v>469</v>
      </c>
    </row>
    <row r="152" spans="1:21" x14ac:dyDescent="0.2">
      <c r="A152" s="12" t="s">
        <v>133</v>
      </c>
      <c r="B152" s="12"/>
      <c r="C152" s="12">
        <v>7</v>
      </c>
      <c r="D152" s="12">
        <v>4</v>
      </c>
      <c r="E152" s="12">
        <v>6</v>
      </c>
      <c r="F152" s="12">
        <v>76.137060880660997</v>
      </c>
      <c r="G152" s="12">
        <v>9.1543128490447998</v>
      </c>
      <c r="H152" s="12">
        <v>63.048280954360898</v>
      </c>
      <c r="I152" s="12">
        <v>583.74331877776797</v>
      </c>
      <c r="K152" t="s">
        <v>469</v>
      </c>
      <c r="M152" s="12">
        <v>33.4766011238098</v>
      </c>
      <c r="N152" s="12">
        <v>6.1694747979999898</v>
      </c>
      <c r="O152" s="12">
        <v>27.307126325809801</v>
      </c>
      <c r="P152" s="12">
        <v>14.875166391</v>
      </c>
      <c r="Q152" s="12">
        <v>5.4852776900000002</v>
      </c>
      <c r="R152" s="12">
        <v>11.548950319999999</v>
      </c>
      <c r="S152" s="12">
        <v>583.74331877776797</v>
      </c>
      <c r="T152" s="12" t="s">
        <v>333</v>
      </c>
      <c r="U152" t="s">
        <v>469</v>
      </c>
    </row>
    <row r="153" spans="1:21" x14ac:dyDescent="0.2">
      <c r="A153" s="12" t="s">
        <v>138</v>
      </c>
      <c r="B153" s="12"/>
      <c r="C153" s="12">
        <v>7</v>
      </c>
      <c r="D153" s="12">
        <v>4</v>
      </c>
      <c r="E153" s="12">
        <v>6</v>
      </c>
      <c r="F153" s="12">
        <v>47.978056907653801</v>
      </c>
      <c r="G153" s="12">
        <v>8.5112948417663503</v>
      </c>
      <c r="H153" s="12">
        <v>35.719799995422299</v>
      </c>
      <c r="I153" s="12">
        <v>572.12982116974501</v>
      </c>
      <c r="K153" t="s">
        <v>469</v>
      </c>
      <c r="M153" s="12">
        <v>74.587869882583604</v>
      </c>
      <c r="N153" s="12">
        <v>5.76004834</v>
      </c>
      <c r="O153" s="12">
        <v>68.827821542583607</v>
      </c>
      <c r="P153" s="12">
        <v>13.973334544</v>
      </c>
      <c r="Q153" s="12">
        <v>7.7803966259999999</v>
      </c>
      <c r="R153" s="12">
        <v>51.346923865999997</v>
      </c>
      <c r="S153" s="12">
        <v>572.12982116974501</v>
      </c>
      <c r="T153" s="12" t="s">
        <v>333</v>
      </c>
      <c r="U153" t="s">
        <v>469</v>
      </c>
    </row>
    <row r="154" spans="1:21" x14ac:dyDescent="0.2">
      <c r="A154" s="12" t="s">
        <v>141</v>
      </c>
      <c r="B154" s="12"/>
      <c r="C154" s="12">
        <v>7</v>
      </c>
      <c r="D154" s="12">
        <v>4</v>
      </c>
      <c r="E154" s="12">
        <v>6</v>
      </c>
      <c r="F154" s="12">
        <v>140.24062180519101</v>
      </c>
      <c r="G154" s="12">
        <v>8.57057785987854</v>
      </c>
      <c r="H154" s="12">
        <v>127.828909873962</v>
      </c>
      <c r="I154" s="12">
        <v>574.15036143264604</v>
      </c>
      <c r="K154" t="s">
        <v>469</v>
      </c>
      <c r="M154" s="12">
        <v>70.746752977371202</v>
      </c>
      <c r="N154" s="12">
        <v>5.5255359359999998</v>
      </c>
      <c r="O154" s="12">
        <v>65.221217041371204</v>
      </c>
      <c r="P154" s="12">
        <v>13.204803686</v>
      </c>
      <c r="Q154" s="12">
        <v>4.323994903</v>
      </c>
      <c r="R154" s="12">
        <v>51.795548451000002</v>
      </c>
      <c r="S154" s="12">
        <v>575.61696262115197</v>
      </c>
      <c r="T154" s="12" t="s">
        <v>333</v>
      </c>
      <c r="U154" t="s">
        <v>469</v>
      </c>
    </row>
    <row r="155" spans="1:21" x14ac:dyDescent="0.2">
      <c r="A155" s="12" t="s">
        <v>144</v>
      </c>
      <c r="B155" s="12"/>
      <c r="C155" s="12">
        <v>7</v>
      </c>
      <c r="D155" s="12">
        <v>4</v>
      </c>
      <c r="E155" s="12">
        <v>6</v>
      </c>
      <c r="F155" s="12">
        <v>44.947959184646599</v>
      </c>
      <c r="G155" s="12">
        <v>8.6825001239776594</v>
      </c>
      <c r="H155" s="12">
        <v>32.490055084228501</v>
      </c>
      <c r="I155" s="12">
        <v>480.45524996468998</v>
      </c>
      <c r="K155" t="s">
        <v>469</v>
      </c>
      <c r="M155" s="12">
        <v>71.600258827209402</v>
      </c>
      <c r="N155" s="12">
        <v>5.5476289889999997</v>
      </c>
      <c r="O155" s="12">
        <v>66.052629838209398</v>
      </c>
      <c r="P155" s="12">
        <v>13.602286912</v>
      </c>
      <c r="Q155" s="12">
        <v>3.61996445399999</v>
      </c>
      <c r="R155" s="12">
        <v>52.946888754</v>
      </c>
      <c r="S155" s="12">
        <v>480.45524996468998</v>
      </c>
      <c r="T155" s="12" t="s">
        <v>333</v>
      </c>
      <c r="U155" t="s">
        <v>469</v>
      </c>
    </row>
    <row r="156" spans="1:21" x14ac:dyDescent="0.2">
      <c r="A156" s="12" t="s">
        <v>148</v>
      </c>
      <c r="B156" s="12"/>
      <c r="C156" s="12">
        <v>7</v>
      </c>
      <c r="D156" s="12">
        <v>4</v>
      </c>
      <c r="E156" s="12">
        <v>6</v>
      </c>
      <c r="F156" s="12">
        <v>84.805197000503497</v>
      </c>
      <c r="G156" s="12">
        <v>8.6183640956878609</v>
      </c>
      <c r="H156" s="12">
        <v>72.371718168258596</v>
      </c>
      <c r="I156" s="12">
        <v>572.91542641618901</v>
      </c>
      <c r="K156" t="s">
        <v>469</v>
      </c>
      <c r="M156" s="12">
        <v>82.209913969039903</v>
      </c>
      <c r="N156" s="12">
        <v>5.5123570449999999</v>
      </c>
      <c r="O156" s="12">
        <v>76.697556924039901</v>
      </c>
      <c r="P156" s="12">
        <v>13.629001083</v>
      </c>
      <c r="Q156" s="12">
        <v>3.673823241</v>
      </c>
      <c r="R156" s="12">
        <v>63.482540634000003</v>
      </c>
      <c r="S156" s="12">
        <v>600.71736872768395</v>
      </c>
      <c r="T156" s="12" t="s">
        <v>333</v>
      </c>
      <c r="U156" t="s">
        <v>469</v>
      </c>
    </row>
    <row r="157" spans="1:21" x14ac:dyDescent="0.2">
      <c r="A157" s="12" t="s">
        <v>152</v>
      </c>
      <c r="B157" s="12"/>
      <c r="C157" s="12">
        <v>7</v>
      </c>
      <c r="D157" s="12">
        <v>4</v>
      </c>
      <c r="E157" s="12">
        <v>6</v>
      </c>
      <c r="F157" s="12">
        <v>202.58936381340001</v>
      </c>
      <c r="G157" s="12">
        <v>8.6571848392486501</v>
      </c>
      <c r="H157" s="12">
        <v>190.10455989837601</v>
      </c>
      <c r="I157" s="12">
        <v>589.97292258920004</v>
      </c>
      <c r="K157" t="s">
        <v>469</v>
      </c>
      <c r="M157" s="12">
        <v>39.235620021819997</v>
      </c>
      <c r="N157" s="12">
        <v>5.5324744219999999</v>
      </c>
      <c r="O157" s="12">
        <v>33.703145599819997</v>
      </c>
      <c r="P157" s="12">
        <v>13.63865167</v>
      </c>
      <c r="Q157" s="12">
        <v>3.6139533749999999</v>
      </c>
      <c r="R157" s="12">
        <v>20.553089278000002</v>
      </c>
      <c r="S157" s="12">
        <v>592.90464665028503</v>
      </c>
      <c r="T157" s="12" t="s">
        <v>333</v>
      </c>
      <c r="U157" t="s">
        <v>469</v>
      </c>
    </row>
    <row r="158" spans="1:21" x14ac:dyDescent="0.2">
      <c r="A158" s="12" t="s">
        <v>155</v>
      </c>
      <c r="B158" s="12"/>
      <c r="C158" s="12">
        <v>7</v>
      </c>
      <c r="D158" s="12">
        <v>4</v>
      </c>
      <c r="E158" s="12">
        <v>6</v>
      </c>
      <c r="F158" s="12">
        <v>516.85038113593998</v>
      </c>
      <c r="G158" s="12">
        <v>8.3076879978179896</v>
      </c>
      <c r="H158" s="12">
        <v>504.854492902755</v>
      </c>
      <c r="I158" s="12">
        <v>563.21653164787801</v>
      </c>
      <c r="K158" t="s">
        <v>469</v>
      </c>
      <c r="M158" s="12">
        <v>168.86168003082199</v>
      </c>
      <c r="N158" s="12">
        <v>5.5376123860000002</v>
      </c>
      <c r="O158" s="12">
        <v>163.32406764482201</v>
      </c>
      <c r="P158" s="12">
        <v>13.547152912</v>
      </c>
      <c r="Q158" s="12">
        <v>9.8566950439999896</v>
      </c>
      <c r="R158" s="12">
        <v>144.023097662</v>
      </c>
      <c r="S158" s="12">
        <v>563.88103420386096</v>
      </c>
      <c r="T158" s="12" t="s">
        <v>333</v>
      </c>
      <c r="U158" t="s">
        <v>469</v>
      </c>
    </row>
    <row r="159" spans="1:21" x14ac:dyDescent="0.2">
      <c r="A159" s="12" t="s">
        <v>158</v>
      </c>
      <c r="B159" s="12"/>
      <c r="C159" s="12">
        <v>7</v>
      </c>
      <c r="D159" s="12">
        <v>4</v>
      </c>
      <c r="E159" s="12">
        <v>6</v>
      </c>
      <c r="F159" s="12">
        <v>266.782120943069</v>
      </c>
      <c r="G159" s="12">
        <v>8.7381539344787598</v>
      </c>
      <c r="H159" s="12">
        <v>254.185924053192</v>
      </c>
      <c r="I159" s="12">
        <v>562.420263477714</v>
      </c>
      <c r="K159" t="s">
        <v>469</v>
      </c>
      <c r="M159" s="12">
        <v>29.173537969589201</v>
      </c>
      <c r="N159" s="12">
        <v>5.5467200200000004</v>
      </c>
      <c r="O159" s="12">
        <v>23.626817949589199</v>
      </c>
      <c r="P159" s="12">
        <v>13.212262445</v>
      </c>
      <c r="Q159" s="12">
        <v>5.187618133</v>
      </c>
      <c r="R159" s="12">
        <v>9.3514724850000004</v>
      </c>
      <c r="S159" s="12">
        <v>562.42026347771503</v>
      </c>
      <c r="T159" s="12" t="s">
        <v>333</v>
      </c>
      <c r="U159" t="s">
        <v>469</v>
      </c>
    </row>
    <row r="160" spans="1:21" x14ac:dyDescent="0.2">
      <c r="A160" s="12" t="s">
        <v>162</v>
      </c>
      <c r="B160" s="12"/>
      <c r="C160" s="12">
        <v>7</v>
      </c>
      <c r="D160" s="12">
        <v>4</v>
      </c>
      <c r="E160" s="12">
        <v>6</v>
      </c>
      <c r="F160" s="12">
        <v>519.03621196746803</v>
      </c>
      <c r="G160" s="12">
        <v>8.6164951324462802</v>
      </c>
      <c r="H160" s="12">
        <v>506.61633610725403</v>
      </c>
      <c r="I160" s="12">
        <v>523.21459560677499</v>
      </c>
      <c r="K160" t="s">
        <v>469</v>
      </c>
      <c r="M160" s="12">
        <v>40.908046007156301</v>
      </c>
      <c r="N160" s="12">
        <v>5.8848596720000002</v>
      </c>
      <c r="O160" s="12">
        <v>35.023186335156304</v>
      </c>
      <c r="P160" s="12">
        <v>14.373674419</v>
      </c>
      <c r="Q160" s="12">
        <v>3.8329095019999899</v>
      </c>
      <c r="R160" s="12">
        <v>21.17880542</v>
      </c>
      <c r="S160" s="12">
        <v>523.21459560677499</v>
      </c>
      <c r="T160" s="12" t="s">
        <v>333</v>
      </c>
      <c r="U160" t="s">
        <v>469</v>
      </c>
    </row>
    <row r="161" spans="1:21" x14ac:dyDescent="0.2">
      <c r="A161" s="12" t="s">
        <v>165</v>
      </c>
      <c r="B161" s="12"/>
      <c r="C161" s="12">
        <v>7</v>
      </c>
      <c r="D161" s="12">
        <v>4</v>
      </c>
      <c r="E161" s="12">
        <v>7</v>
      </c>
      <c r="F161" s="12">
        <v>139.67212581634499</v>
      </c>
      <c r="G161" s="12">
        <v>8.7291429042816109</v>
      </c>
      <c r="H161" s="12">
        <v>127.08560299873299</v>
      </c>
      <c r="I161" s="12">
        <v>563.31508522102502</v>
      </c>
      <c r="K161" t="s">
        <v>469</v>
      </c>
      <c r="M161" s="12">
        <v>42.796449184417703</v>
      </c>
      <c r="N161" s="12">
        <v>5.5288029139999999</v>
      </c>
      <c r="O161" s="12">
        <v>37.2676462704177</v>
      </c>
      <c r="P161" s="12">
        <v>13.773593011000001</v>
      </c>
      <c r="Q161" s="12">
        <v>4.6405255900000002</v>
      </c>
      <c r="R161" s="12">
        <v>22.961590738999998</v>
      </c>
      <c r="S161" s="12">
        <v>563.31508522102502</v>
      </c>
      <c r="T161" s="12" t="s">
        <v>333</v>
      </c>
      <c r="U161" t="s">
        <v>469</v>
      </c>
    </row>
    <row r="162" spans="1:21" x14ac:dyDescent="0.2">
      <c r="A162" s="12" t="s">
        <v>170</v>
      </c>
      <c r="B162" s="12"/>
      <c r="C162" s="12">
        <v>7</v>
      </c>
      <c r="D162" s="12">
        <v>4</v>
      </c>
      <c r="E162" s="12">
        <v>6</v>
      </c>
      <c r="F162" s="12">
        <v>408.57488107681201</v>
      </c>
      <c r="G162" s="12">
        <v>8.8423309326171804</v>
      </c>
      <c r="H162" s="12">
        <v>395.85361790656998</v>
      </c>
      <c r="I162" s="12">
        <v>557.62237018267695</v>
      </c>
      <c r="K162" t="s">
        <v>469</v>
      </c>
      <c r="M162" s="12">
        <v>31.246162176132199</v>
      </c>
      <c r="N162" s="12">
        <v>5.5374707230000002</v>
      </c>
      <c r="O162" s="12">
        <v>25.7086914531322</v>
      </c>
      <c r="P162" s="12">
        <v>13.591142542</v>
      </c>
      <c r="Q162" s="12">
        <v>7.3092999279999997</v>
      </c>
      <c r="R162" s="12">
        <v>8.9193620819999992</v>
      </c>
      <c r="S162" s="12">
        <v>557.62237018224505</v>
      </c>
      <c r="T162" s="12" t="s">
        <v>333</v>
      </c>
      <c r="U162" t="s">
        <v>469</v>
      </c>
    </row>
    <row r="163" spans="1:21" x14ac:dyDescent="0.2">
      <c r="A163" s="12" t="s">
        <v>174</v>
      </c>
      <c r="B163" s="12"/>
      <c r="C163" s="12">
        <v>7</v>
      </c>
      <c r="D163" s="12">
        <v>4</v>
      </c>
      <c r="E163" s="12">
        <v>6</v>
      </c>
      <c r="F163" s="12">
        <v>1848.2703549861899</v>
      </c>
      <c r="G163" s="12">
        <v>8.7449979782104492</v>
      </c>
      <c r="H163" s="12">
        <v>1835.67235207557</v>
      </c>
      <c r="I163" s="12">
        <v>578.95401001361301</v>
      </c>
      <c r="K163" t="s">
        <v>469</v>
      </c>
      <c r="M163" s="12">
        <v>130.35929989814699</v>
      </c>
      <c r="N163" s="12">
        <v>5.5274142130000001</v>
      </c>
      <c r="O163" s="12">
        <v>124.831885685147</v>
      </c>
      <c r="P163" s="12">
        <v>13.576917530999999</v>
      </c>
      <c r="Q163" s="12">
        <v>4.8367202689999997</v>
      </c>
      <c r="R163" s="12">
        <v>110.504730645</v>
      </c>
      <c r="S163" s="12">
        <v>583.63667587560701</v>
      </c>
      <c r="T163" s="12" t="s">
        <v>333</v>
      </c>
      <c r="U163" t="s">
        <v>469</v>
      </c>
    </row>
    <row r="164" spans="1:21" x14ac:dyDescent="0.2">
      <c r="A164" s="12" t="s">
        <v>177</v>
      </c>
      <c r="B164" s="12"/>
      <c r="C164" s="12">
        <v>7</v>
      </c>
      <c r="D164" s="12">
        <v>4</v>
      </c>
      <c r="E164" s="12">
        <v>6</v>
      </c>
      <c r="F164" s="12">
        <v>414.34153413772498</v>
      </c>
      <c r="G164" s="12">
        <v>8.4408011436462402</v>
      </c>
      <c r="H164" s="12">
        <v>402.14590501785199</v>
      </c>
      <c r="I164" s="12">
        <v>542.67434682730698</v>
      </c>
      <c r="K164" t="s">
        <v>469</v>
      </c>
      <c r="M164" s="12">
        <v>45.000427961349402</v>
      </c>
      <c r="N164" s="12">
        <v>5.781552553</v>
      </c>
      <c r="O164" s="12">
        <v>39.218875408349398</v>
      </c>
      <c r="P164" s="12">
        <v>13.585681703000001</v>
      </c>
      <c r="Q164" s="12">
        <v>5.8019793859999904</v>
      </c>
      <c r="R164" s="12">
        <v>24.191702461999999</v>
      </c>
      <c r="S164" s="12">
        <v>542.67434682730698</v>
      </c>
      <c r="T164" s="12" t="s">
        <v>333</v>
      </c>
      <c r="U164" t="s">
        <v>469</v>
      </c>
    </row>
    <row r="165" spans="1:21" x14ac:dyDescent="0.2">
      <c r="A165" s="12" t="s">
        <v>182</v>
      </c>
      <c r="B165" s="12"/>
      <c r="C165" s="12">
        <v>7</v>
      </c>
      <c r="D165" s="12">
        <v>4</v>
      </c>
      <c r="E165" s="12">
        <v>5</v>
      </c>
      <c r="F165" s="12">
        <v>583.49725103378296</v>
      </c>
      <c r="G165" s="12">
        <v>8.4793949127197195</v>
      </c>
      <c r="H165" s="12">
        <v>571.24766492843605</v>
      </c>
      <c r="I165" s="12">
        <v>466.675332194129</v>
      </c>
      <c r="K165" t="s">
        <v>469</v>
      </c>
      <c r="M165" s="12">
        <v>95.293172836303697</v>
      </c>
      <c r="N165" s="12">
        <v>5.5174109979999999</v>
      </c>
      <c r="O165" s="12">
        <v>89.775761838303694</v>
      </c>
      <c r="P165" s="12">
        <v>13.358877043</v>
      </c>
      <c r="Q165" s="12">
        <v>5.3094715819999996</v>
      </c>
      <c r="R165" s="12">
        <v>75.196507198000006</v>
      </c>
      <c r="S165" s="12">
        <v>466.675332194129</v>
      </c>
      <c r="T165" s="12" t="s">
        <v>333</v>
      </c>
      <c r="U165" t="s">
        <v>469</v>
      </c>
    </row>
    <row r="166" spans="1:21" x14ac:dyDescent="0.2">
      <c r="A166" s="12" t="s">
        <v>185</v>
      </c>
      <c r="B166" s="12"/>
      <c r="C166" s="12">
        <v>7</v>
      </c>
      <c r="D166" s="12">
        <v>4</v>
      </c>
      <c r="E166" s="12">
        <v>7</v>
      </c>
      <c r="F166" s="12">
        <v>29.793723106384199</v>
      </c>
      <c r="G166" s="12">
        <v>8.7757511138915998</v>
      </c>
      <c r="H166" s="12">
        <v>17.142114162445001</v>
      </c>
      <c r="I166" s="12">
        <v>575.96044097471804</v>
      </c>
      <c r="K166" t="s">
        <v>469</v>
      </c>
      <c r="M166" s="12">
        <v>31.284584045410099</v>
      </c>
      <c r="N166" s="12">
        <v>5.5216486909999896</v>
      </c>
      <c r="O166" s="12">
        <v>25.7629353544101</v>
      </c>
      <c r="P166" s="12">
        <v>13.786977138999999</v>
      </c>
      <c r="Q166" s="12">
        <v>3.4359611220000001</v>
      </c>
      <c r="R166" s="12">
        <v>12.633976176999999</v>
      </c>
      <c r="S166" s="12">
        <v>575.96044097471804</v>
      </c>
      <c r="T166" s="12" t="s">
        <v>333</v>
      </c>
      <c r="U166" t="s">
        <v>469</v>
      </c>
    </row>
    <row r="167" spans="1:21" x14ac:dyDescent="0.2">
      <c r="A167" s="12" t="s">
        <v>188</v>
      </c>
      <c r="B167" s="12"/>
      <c r="C167" s="12">
        <v>7</v>
      </c>
      <c r="D167" s="12">
        <v>4</v>
      </c>
      <c r="E167" s="12">
        <v>6</v>
      </c>
      <c r="F167" s="12">
        <v>127.503839969635</v>
      </c>
      <c r="G167" s="12">
        <v>8.4974498748779297</v>
      </c>
      <c r="H167" s="12">
        <v>115.215109109878</v>
      </c>
      <c r="I167" s="12">
        <v>594.06347808683995</v>
      </c>
      <c r="K167" t="s">
        <v>469</v>
      </c>
      <c r="M167" s="12">
        <v>30.640769004821699</v>
      </c>
      <c r="N167" s="12">
        <v>5.5291539719999996</v>
      </c>
      <c r="O167" s="12">
        <v>25.1116150328217</v>
      </c>
      <c r="P167" s="12">
        <v>13.670866949000001</v>
      </c>
      <c r="Q167" s="12">
        <v>4.3674593330000002</v>
      </c>
      <c r="R167" s="12">
        <v>11.170538516000001</v>
      </c>
      <c r="S167" s="12">
        <v>594.50243213460794</v>
      </c>
      <c r="T167" s="12" t="s">
        <v>333</v>
      </c>
      <c r="U167" t="s">
        <v>469</v>
      </c>
    </row>
    <row r="168" spans="1:21" x14ac:dyDescent="0.2">
      <c r="A168" s="12" t="s">
        <v>191</v>
      </c>
      <c r="B168" s="12"/>
      <c r="C168" s="12">
        <v>7</v>
      </c>
      <c r="D168" s="12">
        <v>4</v>
      </c>
      <c r="E168" s="12">
        <v>6</v>
      </c>
      <c r="F168" s="12">
        <v>46.836198091506901</v>
      </c>
      <c r="G168" s="12">
        <v>8.6530361175537092</v>
      </c>
      <c r="H168" s="12">
        <v>34.3504219055175</v>
      </c>
      <c r="I168" s="12">
        <v>554.97510150857397</v>
      </c>
      <c r="K168" t="s">
        <v>469</v>
      </c>
      <c r="M168" s="12">
        <v>33.932703018188398</v>
      </c>
      <c r="N168" s="12">
        <v>5.537440439</v>
      </c>
      <c r="O168" s="12">
        <v>28.395262579188401</v>
      </c>
      <c r="P168" s="12">
        <v>13.539049181999999</v>
      </c>
      <c r="Q168" s="12">
        <v>4.9242663149999997</v>
      </c>
      <c r="R168" s="12">
        <v>14.048329912</v>
      </c>
      <c r="S168" s="12">
        <v>554.97510150857397</v>
      </c>
      <c r="T168" s="12" t="s">
        <v>333</v>
      </c>
      <c r="U168" t="s">
        <v>469</v>
      </c>
    </row>
    <row r="169" spans="1:21" x14ac:dyDescent="0.2">
      <c r="A169" s="12" t="s">
        <v>194</v>
      </c>
      <c r="B169" s="12"/>
      <c r="C169" s="12">
        <v>7</v>
      </c>
      <c r="D169" s="12">
        <v>4</v>
      </c>
      <c r="E169" s="12">
        <v>6</v>
      </c>
      <c r="F169" s="12">
        <v>64.240629911422701</v>
      </c>
      <c r="G169" s="12">
        <v>8.8985679149627597</v>
      </c>
      <c r="H169" s="12">
        <v>51.469216108322101</v>
      </c>
      <c r="I169" s="12">
        <v>555.82746540212497</v>
      </c>
      <c r="K169" t="s">
        <v>469</v>
      </c>
      <c r="M169" s="12">
        <v>57.726155996322603</v>
      </c>
      <c r="N169" s="12">
        <v>5.5283182530000001</v>
      </c>
      <c r="O169" s="12">
        <v>52.197837743322602</v>
      </c>
      <c r="P169" s="12">
        <v>13.289366982000001</v>
      </c>
      <c r="Q169" s="12">
        <v>4.2802960589999897</v>
      </c>
      <c r="R169" s="12">
        <v>38.721444708</v>
      </c>
      <c r="S169" s="12">
        <v>555.82746540212497</v>
      </c>
      <c r="T169" s="12" t="s">
        <v>333</v>
      </c>
      <c r="U169" t="s">
        <v>469</v>
      </c>
    </row>
    <row r="170" spans="1:21" x14ac:dyDescent="0.2">
      <c r="A170" s="12" t="s">
        <v>198</v>
      </c>
      <c r="B170" s="12"/>
      <c r="C170" s="12">
        <v>7</v>
      </c>
      <c r="D170" s="12">
        <v>4</v>
      </c>
      <c r="E170" s="12">
        <v>6</v>
      </c>
      <c r="F170" s="12">
        <v>37.360584020614603</v>
      </c>
      <c r="G170" s="12">
        <v>8.6051468849182093</v>
      </c>
      <c r="H170" s="12">
        <v>25.0333909988403</v>
      </c>
      <c r="I170" s="12">
        <v>484.49302924606201</v>
      </c>
      <c r="K170" t="s">
        <v>469</v>
      </c>
      <c r="M170" s="12">
        <v>28.990344047546301</v>
      </c>
      <c r="N170" s="12">
        <v>6.0892029459999897</v>
      </c>
      <c r="O170" s="12">
        <v>22.901141101546301</v>
      </c>
      <c r="P170" s="12">
        <v>14.703738861</v>
      </c>
      <c r="Q170" s="12">
        <v>4.022524872</v>
      </c>
      <c r="R170" s="12">
        <v>8.6766699759999995</v>
      </c>
      <c r="S170" s="12">
        <v>484.49302925266102</v>
      </c>
      <c r="T170" s="12" t="s">
        <v>333</v>
      </c>
      <c r="U170" t="s">
        <v>469</v>
      </c>
    </row>
    <row r="171" spans="1:21" s="33" customFormat="1" x14ac:dyDescent="0.2">
      <c r="A171" s="35"/>
      <c r="B171" s="35"/>
      <c r="C171" s="35">
        <v>7</v>
      </c>
      <c r="D171" s="35">
        <v>4</v>
      </c>
      <c r="E171" s="35"/>
      <c r="F171" s="35">
        <f>AVERAGE(F151:F170)</f>
        <v>281.97601233720758</v>
      </c>
      <c r="G171" s="35">
        <f t="shared" ref="G171:R171" si="13">AVERAGE(G151:G170)</f>
        <v>8.6789381265640237</v>
      </c>
      <c r="H171" s="35">
        <f t="shared" si="13"/>
        <v>269.47942751645985</v>
      </c>
      <c r="I171" s="35">
        <f t="shared" si="13"/>
        <v>552.80376125569035</v>
      </c>
      <c r="J171" s="35"/>
      <c r="L171" s="35"/>
      <c r="M171" s="35">
        <f t="shared" si="13"/>
        <v>59.773325395584017</v>
      </c>
      <c r="N171" s="35">
        <f t="shared" si="13"/>
        <v>5.6318387713999982</v>
      </c>
      <c r="O171" s="35">
        <f t="shared" si="13"/>
        <v>54.141486624183997</v>
      </c>
      <c r="P171" s="35">
        <f t="shared" si="13"/>
        <v>13.728313178449998</v>
      </c>
      <c r="Q171" s="35">
        <f t="shared" si="13"/>
        <v>5.124904759699997</v>
      </c>
      <c r="R171" s="35">
        <f t="shared" si="13"/>
        <v>39.469592650450004</v>
      </c>
      <c r="S171" s="35">
        <f>AVERAGE(S151:S170)</f>
        <v>554.70308075734033</v>
      </c>
      <c r="T171" s="35"/>
    </row>
    <row r="172" spans="1:21" x14ac:dyDescent="0.2">
      <c r="A172" s="12" t="s">
        <v>135</v>
      </c>
      <c r="B172" s="12"/>
      <c r="C172" s="12">
        <v>9</v>
      </c>
      <c r="D172" s="12">
        <v>5</v>
      </c>
      <c r="E172" s="12">
        <v>6</v>
      </c>
      <c r="F172" s="12">
        <v>116.697153806686</v>
      </c>
      <c r="G172" s="12">
        <v>8.8864748477935702</v>
      </c>
      <c r="H172" s="12">
        <v>104.629426002502</v>
      </c>
      <c r="I172" s="12">
        <v>617.28649184489598</v>
      </c>
      <c r="K172" t="s">
        <v>469</v>
      </c>
      <c r="M172" s="12">
        <v>93.90358710289</v>
      </c>
      <c r="N172" s="12">
        <v>5.5591005979999997</v>
      </c>
      <c r="O172" s="12">
        <v>88.34448650489</v>
      </c>
      <c r="P172" s="12">
        <v>73.540552027999993</v>
      </c>
      <c r="Q172" s="12">
        <v>4.4314926860000003</v>
      </c>
      <c r="R172" s="12">
        <v>14.450856362</v>
      </c>
      <c r="S172" s="12">
        <v>617.28649184489302</v>
      </c>
      <c r="T172" s="12" t="s">
        <v>333</v>
      </c>
      <c r="U172" t="s">
        <v>469</v>
      </c>
    </row>
    <row r="173" spans="1:21" x14ac:dyDescent="0.2">
      <c r="A173" s="12" t="s">
        <v>139</v>
      </c>
      <c r="B173" s="12"/>
      <c r="C173" s="12">
        <v>9</v>
      </c>
      <c r="D173" s="12">
        <v>5</v>
      </c>
      <c r="E173" s="12">
        <v>6</v>
      </c>
      <c r="F173" s="12">
        <v>92.442651987075806</v>
      </c>
      <c r="G173" s="12">
        <v>8.4784209728240896</v>
      </c>
      <c r="H173" s="12">
        <v>80.200037002563406</v>
      </c>
      <c r="I173" s="12">
        <v>573.74043763102497</v>
      </c>
      <c r="K173" t="s">
        <v>469</v>
      </c>
      <c r="M173" s="12">
        <v>106.691133975982</v>
      </c>
      <c r="N173" s="12">
        <v>5.5316016259999996</v>
      </c>
      <c r="O173" s="12">
        <v>101.159532349982</v>
      </c>
      <c r="P173" s="12">
        <v>77.350350860000006</v>
      </c>
      <c r="Q173" s="12">
        <v>6.2459229909999996</v>
      </c>
      <c r="R173" s="12">
        <v>21.628943885000002</v>
      </c>
      <c r="S173" s="12">
        <v>573.74043763102497</v>
      </c>
      <c r="T173" s="12" t="s">
        <v>333</v>
      </c>
      <c r="U173" t="s">
        <v>469</v>
      </c>
    </row>
    <row r="174" spans="1:21" x14ac:dyDescent="0.2">
      <c r="A174" s="12" t="s">
        <v>142</v>
      </c>
      <c r="B174" s="12"/>
      <c r="C174" s="12">
        <v>9</v>
      </c>
      <c r="D174" s="12">
        <v>5</v>
      </c>
      <c r="E174" s="12">
        <v>6</v>
      </c>
      <c r="F174" s="12">
        <v>130.555330991745</v>
      </c>
      <c r="G174" s="12">
        <v>8.5761730670928902</v>
      </c>
      <c r="H174" s="12">
        <v>118.14065098762499</v>
      </c>
      <c r="I174" s="12">
        <v>588.32410208267299</v>
      </c>
      <c r="K174" t="s">
        <v>469</v>
      </c>
      <c r="M174" s="12">
        <v>138.75178718566801</v>
      </c>
      <c r="N174" s="12">
        <v>5.5300689059999897</v>
      </c>
      <c r="O174" s="12">
        <v>133.22171827966801</v>
      </c>
      <c r="P174" s="12">
        <v>67.136510435999995</v>
      </c>
      <c r="Q174" s="12">
        <v>7.0274306059999896</v>
      </c>
      <c r="R174" s="12">
        <v>63.137038126999997</v>
      </c>
      <c r="S174" s="12">
        <v>588.32410208267299</v>
      </c>
      <c r="T174" s="12" t="s">
        <v>333</v>
      </c>
      <c r="U174" t="s">
        <v>469</v>
      </c>
    </row>
    <row r="175" spans="1:21" x14ac:dyDescent="0.2">
      <c r="A175" s="12" t="s">
        <v>145</v>
      </c>
      <c r="B175" s="12"/>
      <c r="C175" s="12">
        <v>9</v>
      </c>
      <c r="D175" s="12">
        <v>5</v>
      </c>
      <c r="E175" s="12">
        <v>6</v>
      </c>
      <c r="F175" s="12">
        <v>68.518781900405799</v>
      </c>
      <c r="G175" s="12">
        <v>8.6966049671173096</v>
      </c>
      <c r="H175" s="12">
        <v>56.012310981750403</v>
      </c>
      <c r="I175" s="12">
        <v>531.18415941058595</v>
      </c>
      <c r="K175" t="s">
        <v>469</v>
      </c>
      <c r="M175" s="12">
        <v>111.634454011917</v>
      </c>
      <c r="N175" s="12">
        <v>5.5342214600000004</v>
      </c>
      <c r="O175" s="12">
        <v>106.100232551917</v>
      </c>
      <c r="P175" s="12">
        <v>71.262171512999998</v>
      </c>
      <c r="Q175" s="12">
        <v>5.9319297860000004</v>
      </c>
      <c r="R175" s="12">
        <v>32.979310658999999</v>
      </c>
      <c r="S175" s="12">
        <v>531.18415941058595</v>
      </c>
      <c r="T175" s="12" t="s">
        <v>333</v>
      </c>
      <c r="U175" t="s">
        <v>469</v>
      </c>
    </row>
    <row r="176" spans="1:21" x14ac:dyDescent="0.2">
      <c r="A176" s="12" t="s">
        <v>149</v>
      </c>
      <c r="B176" s="12"/>
      <c r="C176" s="12">
        <v>9</v>
      </c>
      <c r="D176" s="12">
        <v>5</v>
      </c>
      <c r="E176" s="12">
        <v>6</v>
      </c>
      <c r="F176" s="12">
        <v>833.11369085311799</v>
      </c>
      <c r="G176" s="12">
        <v>8.5411798954009992</v>
      </c>
      <c r="H176" s="12">
        <v>820.75577807426396</v>
      </c>
      <c r="I176" s="12">
        <v>638.62151885975504</v>
      </c>
      <c r="K176" t="s">
        <v>469</v>
      </c>
      <c r="M176" s="12">
        <v>92.802726984024005</v>
      </c>
      <c r="N176" s="12">
        <v>5.586169752</v>
      </c>
      <c r="O176" s="12">
        <v>87.216557232024002</v>
      </c>
      <c r="P176" s="12">
        <v>71.453571601999997</v>
      </c>
      <c r="Q176" s="12">
        <v>3.7689641620000001</v>
      </c>
      <c r="R176" s="12">
        <v>16.113230178999999</v>
      </c>
      <c r="S176" s="12">
        <v>638.62151885975402</v>
      </c>
      <c r="T176" s="12" t="s">
        <v>333</v>
      </c>
      <c r="U176" t="s">
        <v>469</v>
      </c>
    </row>
    <row r="177" spans="1:21" x14ac:dyDescent="0.2">
      <c r="A177" s="12" t="s">
        <v>153</v>
      </c>
      <c r="B177" s="12"/>
      <c r="C177" s="12">
        <v>9</v>
      </c>
      <c r="D177" s="12">
        <v>5</v>
      </c>
      <c r="E177" s="12">
        <v>5</v>
      </c>
      <c r="F177" s="12">
        <v>316.12080621719298</v>
      </c>
      <c r="G177" s="12">
        <v>8.6614480018615705</v>
      </c>
      <c r="H177" s="12">
        <v>303.61902999877901</v>
      </c>
      <c r="I177" s="12">
        <v>612.45955220522399</v>
      </c>
      <c r="K177" t="s">
        <v>469</v>
      </c>
      <c r="M177" s="12">
        <v>101.62092304229699</v>
      </c>
      <c r="N177" s="12">
        <v>5.5373444730000001</v>
      </c>
      <c r="O177" s="12">
        <v>96.083578569297302</v>
      </c>
      <c r="P177" s="12">
        <v>68.711256008999996</v>
      </c>
      <c r="Q177" s="12">
        <v>5.1507779019999997</v>
      </c>
      <c r="R177" s="12">
        <v>26.306929401000001</v>
      </c>
      <c r="S177" s="12">
        <v>612.70340067327197</v>
      </c>
      <c r="T177" s="12" t="s">
        <v>333</v>
      </c>
      <c r="U177" t="s">
        <v>469</v>
      </c>
    </row>
    <row r="178" spans="1:21" x14ac:dyDescent="0.2">
      <c r="A178" s="12" t="s">
        <v>156</v>
      </c>
      <c r="B178" s="12"/>
      <c r="C178" s="12">
        <v>9</v>
      </c>
      <c r="D178" s="12">
        <v>5</v>
      </c>
      <c r="E178" s="12">
        <v>6</v>
      </c>
      <c r="F178" s="12">
        <v>102.305161952972</v>
      </c>
      <c r="G178" s="12">
        <v>8.4500839710235596</v>
      </c>
      <c r="H178" s="12">
        <v>90.053853034973102</v>
      </c>
      <c r="I178" s="12">
        <v>594.74787256859804</v>
      </c>
      <c r="K178" t="s">
        <v>469</v>
      </c>
      <c r="M178" s="12">
        <v>88.636942863464299</v>
      </c>
      <c r="N178" s="12">
        <v>5.5493558899999904</v>
      </c>
      <c r="O178" s="12">
        <v>83.087586973464298</v>
      </c>
      <c r="P178" s="12">
        <v>77.527657039000005</v>
      </c>
      <c r="Q178" s="12">
        <v>3.98006746399999</v>
      </c>
      <c r="R178" s="12">
        <v>5.65238408</v>
      </c>
      <c r="S178" s="12">
        <v>595.127286908256</v>
      </c>
      <c r="T178" s="12" t="s">
        <v>333</v>
      </c>
      <c r="U178" t="s">
        <v>469</v>
      </c>
    </row>
    <row r="179" spans="1:21" x14ac:dyDescent="0.2">
      <c r="A179" s="12" t="s">
        <v>159</v>
      </c>
      <c r="B179" s="12"/>
      <c r="C179" s="12">
        <v>9</v>
      </c>
      <c r="D179" s="12">
        <v>5</v>
      </c>
      <c r="E179" s="12">
        <v>5</v>
      </c>
      <c r="F179" s="12">
        <v>349.93204212188698</v>
      </c>
      <c r="G179" s="12">
        <v>8.4933691024780202</v>
      </c>
      <c r="H179" s="12">
        <v>337.77941608428898</v>
      </c>
      <c r="I179" s="12">
        <v>583.76259724559895</v>
      </c>
      <c r="K179" t="s">
        <v>469</v>
      </c>
      <c r="M179" s="12">
        <v>149.838124990463</v>
      </c>
      <c r="N179" s="12">
        <v>5.5591362919999998</v>
      </c>
      <c r="O179" s="12">
        <v>144.278988698463</v>
      </c>
      <c r="P179" s="12">
        <v>75.216153778000006</v>
      </c>
      <c r="Q179" s="12">
        <v>73.134367137999902</v>
      </c>
      <c r="R179" s="12">
        <v>1.4303644000000001E-2</v>
      </c>
      <c r="S179" s="12">
        <v>583.76259724559895</v>
      </c>
      <c r="T179" s="12" t="s">
        <v>333</v>
      </c>
      <c r="U179" t="s">
        <v>469</v>
      </c>
    </row>
    <row r="180" spans="1:21" x14ac:dyDescent="0.2">
      <c r="A180" s="12" t="s">
        <v>163</v>
      </c>
      <c r="B180" s="12"/>
      <c r="C180" s="12">
        <v>9</v>
      </c>
      <c r="D180" s="12">
        <v>5</v>
      </c>
      <c r="E180" s="12">
        <v>6</v>
      </c>
      <c r="F180" s="12">
        <v>180.027848005294</v>
      </c>
      <c r="G180" s="12">
        <v>8.7124330997467005</v>
      </c>
      <c r="H180" s="12">
        <v>167.43354606628401</v>
      </c>
      <c r="I180" s="12">
        <v>543.334772706948</v>
      </c>
      <c r="K180" t="s">
        <v>469</v>
      </c>
      <c r="M180" s="12">
        <v>114.303030014038</v>
      </c>
      <c r="N180" s="12">
        <v>5.5407533779999998</v>
      </c>
      <c r="O180" s="12">
        <v>108.762276636038</v>
      </c>
      <c r="P180" s="12">
        <v>70.606388491000004</v>
      </c>
      <c r="Q180" s="12">
        <v>6.7394030190000001</v>
      </c>
      <c r="R180" s="12">
        <v>35.509318839000002</v>
      </c>
      <c r="S180" s="12">
        <v>543.334772706948</v>
      </c>
      <c r="T180" s="12" t="s">
        <v>333</v>
      </c>
      <c r="U180" t="s">
        <v>469</v>
      </c>
    </row>
    <row r="181" spans="1:21" x14ac:dyDescent="0.2">
      <c r="A181" s="12" t="s">
        <v>167</v>
      </c>
      <c r="B181" s="12"/>
      <c r="C181" s="12">
        <v>9</v>
      </c>
      <c r="D181" s="12">
        <v>5</v>
      </c>
      <c r="E181" s="12">
        <v>6</v>
      </c>
      <c r="F181" s="12">
        <v>1009.3350510597199</v>
      </c>
      <c r="G181" s="12">
        <v>8.6498920917510898</v>
      </c>
      <c r="H181" s="12">
        <v>996.825371026992</v>
      </c>
      <c r="I181" s="12">
        <v>584.75837755116697</v>
      </c>
      <c r="K181" t="s">
        <v>469</v>
      </c>
      <c r="M181" s="12">
        <v>324.95797014236399</v>
      </c>
      <c r="N181" s="12">
        <v>6.948434979</v>
      </c>
      <c r="O181" s="12">
        <v>318.00953516336398</v>
      </c>
      <c r="P181" s="12">
        <v>77.628065648000003</v>
      </c>
      <c r="Q181" s="12">
        <v>30.559800789000001</v>
      </c>
      <c r="R181" s="12">
        <v>214.94115015899999</v>
      </c>
      <c r="S181" s="12">
        <v>584.75837755116697</v>
      </c>
      <c r="T181" s="12" t="s">
        <v>333</v>
      </c>
      <c r="U181" t="s">
        <v>469</v>
      </c>
    </row>
    <row r="182" spans="1:21" x14ac:dyDescent="0.2">
      <c r="A182" s="12" t="s">
        <v>171</v>
      </c>
      <c r="B182" s="12"/>
      <c r="C182" s="12">
        <v>9</v>
      </c>
      <c r="D182" s="12">
        <v>5</v>
      </c>
      <c r="E182" s="12">
        <v>6</v>
      </c>
      <c r="F182" s="12">
        <v>331.273252010345</v>
      </c>
      <c r="G182" s="12">
        <v>8.8495569229125906</v>
      </c>
      <c r="H182" s="12">
        <v>318.50288105010901</v>
      </c>
      <c r="I182" s="12">
        <v>599.36868580408805</v>
      </c>
      <c r="K182" t="s">
        <v>469</v>
      </c>
      <c r="M182" s="12">
        <v>115.221327781677</v>
      </c>
      <c r="N182" s="12">
        <v>5.5485786719999997</v>
      </c>
      <c r="O182" s="12">
        <v>109.672749109677</v>
      </c>
      <c r="P182" s="12">
        <v>74.532624694000006</v>
      </c>
      <c r="Q182" s="12">
        <v>39.2106059689999</v>
      </c>
      <c r="R182" s="12">
        <v>1.4328942000000001E-2</v>
      </c>
      <c r="S182" s="12">
        <v>599.36868580408805</v>
      </c>
      <c r="T182" s="12" t="s">
        <v>333</v>
      </c>
      <c r="U182" t="s">
        <v>469</v>
      </c>
    </row>
    <row r="183" spans="1:21" x14ac:dyDescent="0.2">
      <c r="A183" s="12" t="s">
        <v>175</v>
      </c>
      <c r="B183" s="12"/>
      <c r="C183" s="12">
        <v>9</v>
      </c>
      <c r="D183" s="12">
        <v>5</v>
      </c>
      <c r="E183" s="12">
        <v>6</v>
      </c>
      <c r="F183" s="12">
        <v>344.81698894500698</v>
      </c>
      <c r="G183" s="12">
        <v>8.7553539276122994</v>
      </c>
      <c r="H183" s="12">
        <v>332.170631885528</v>
      </c>
      <c r="I183" s="12">
        <v>579.09016070697101</v>
      </c>
      <c r="K183" t="s">
        <v>469</v>
      </c>
      <c r="M183" s="12">
        <v>127.20415806770301</v>
      </c>
      <c r="N183" s="12">
        <v>5.5379253049999999</v>
      </c>
      <c r="O183" s="12">
        <v>121.666232762703</v>
      </c>
      <c r="P183" s="12">
        <v>78.510689456999998</v>
      </c>
      <c r="Q183" s="12">
        <v>15.8970196509999</v>
      </c>
      <c r="R183" s="12">
        <v>31.328568777000001</v>
      </c>
      <c r="S183" s="12">
        <v>579.09016070697101</v>
      </c>
      <c r="T183" s="12" t="s">
        <v>333</v>
      </c>
      <c r="U183" t="s">
        <v>469</v>
      </c>
    </row>
    <row r="184" spans="1:21" x14ac:dyDescent="0.2">
      <c r="A184" s="12" t="s">
        <v>179</v>
      </c>
      <c r="B184" s="12"/>
      <c r="C184" s="12">
        <v>9</v>
      </c>
      <c r="D184" s="12">
        <v>5</v>
      </c>
      <c r="E184" s="12">
        <v>6</v>
      </c>
      <c r="F184" s="12">
        <v>431.43877696990899</v>
      </c>
      <c r="G184" s="12">
        <v>8.73111701011657</v>
      </c>
      <c r="H184" s="12">
        <v>418.84187698364201</v>
      </c>
      <c r="I184" s="12">
        <v>544.52084232311404</v>
      </c>
      <c r="K184" t="s">
        <v>469</v>
      </c>
      <c r="M184" s="12">
        <v>446.05386590957602</v>
      </c>
      <c r="N184" s="12">
        <v>5.5497014709999997</v>
      </c>
      <c r="O184" s="12">
        <v>440.50416443857603</v>
      </c>
      <c r="P184" s="12">
        <v>65.926808089999994</v>
      </c>
      <c r="Q184" s="12">
        <v>48.715557191000002</v>
      </c>
      <c r="R184" s="12">
        <v>329.95742138899999</v>
      </c>
      <c r="S184" s="12">
        <v>544.52084232311404</v>
      </c>
      <c r="T184" s="12" t="s">
        <v>333</v>
      </c>
      <c r="U184" t="s">
        <v>469</v>
      </c>
    </row>
    <row r="185" spans="1:21" x14ac:dyDescent="0.2">
      <c r="A185" s="12" t="s">
        <v>183</v>
      </c>
      <c r="B185" s="12"/>
      <c r="C185" s="12">
        <v>9</v>
      </c>
      <c r="D185" s="12">
        <v>5</v>
      </c>
      <c r="E185" s="12">
        <v>5</v>
      </c>
      <c r="F185" s="12">
        <v>219.023464918136</v>
      </c>
      <c r="G185" s="12">
        <v>8.4381778240203804</v>
      </c>
      <c r="H185" s="12">
        <v>206.83266305923399</v>
      </c>
      <c r="I185" s="12">
        <v>500.72101593529601</v>
      </c>
      <c r="K185" t="s">
        <v>469</v>
      </c>
      <c r="M185" s="12">
        <v>153.39709901809599</v>
      </c>
      <c r="N185" s="12">
        <v>5.5337744860000004</v>
      </c>
      <c r="O185" s="12">
        <v>147.86332453209599</v>
      </c>
      <c r="P185" s="12">
        <v>67.352630145000006</v>
      </c>
      <c r="Q185" s="12">
        <v>31.084306313999999</v>
      </c>
      <c r="R185" s="12">
        <v>53.487818660000002</v>
      </c>
      <c r="S185" s="12">
        <v>500.72101593529601</v>
      </c>
      <c r="T185" s="12" t="s">
        <v>333</v>
      </c>
      <c r="U185" t="s">
        <v>469</v>
      </c>
    </row>
    <row r="186" spans="1:21" x14ac:dyDescent="0.2">
      <c r="A186" s="12" t="s">
        <v>186</v>
      </c>
      <c r="B186" s="12"/>
      <c r="C186" s="12">
        <v>9</v>
      </c>
      <c r="D186" s="12">
        <v>5</v>
      </c>
      <c r="E186" s="12">
        <v>6</v>
      </c>
      <c r="F186" s="12">
        <v>166.840634822845</v>
      </c>
      <c r="G186" s="12">
        <v>8.5872898101806605</v>
      </c>
      <c r="H186" s="12">
        <v>154.42825508117599</v>
      </c>
      <c r="I186" s="12">
        <v>617.69920860269997</v>
      </c>
      <c r="K186" t="s">
        <v>469</v>
      </c>
      <c r="M186" s="12">
        <v>109.496150970458</v>
      </c>
      <c r="N186" s="12">
        <v>5.5272708469999996</v>
      </c>
      <c r="O186" s="12">
        <v>103.96888012345801</v>
      </c>
      <c r="P186" s="12">
        <v>72.580831576999998</v>
      </c>
      <c r="Q186" s="12">
        <v>5.9939349109999904</v>
      </c>
      <c r="R186" s="12">
        <v>29.470513686</v>
      </c>
      <c r="S186" s="12">
        <v>617.69920860269997</v>
      </c>
      <c r="T186" s="12" t="s">
        <v>333</v>
      </c>
      <c r="U186" t="s">
        <v>469</v>
      </c>
    </row>
    <row r="187" spans="1:21" x14ac:dyDescent="0.2">
      <c r="A187" s="12" t="s">
        <v>189</v>
      </c>
      <c r="B187" s="12"/>
      <c r="C187" s="12">
        <v>9</v>
      </c>
      <c r="D187" s="12">
        <v>5</v>
      </c>
      <c r="E187" s="12">
        <v>6</v>
      </c>
      <c r="F187" s="12">
        <v>125.291797876358</v>
      </c>
      <c r="G187" s="12">
        <v>8.5344710350036603</v>
      </c>
      <c r="H187" s="12">
        <v>112.945721149444</v>
      </c>
      <c r="I187" s="12">
        <v>618.45887816592699</v>
      </c>
      <c r="K187" t="s">
        <v>469</v>
      </c>
      <c r="M187" s="12">
        <v>137.98416304588301</v>
      </c>
      <c r="N187" s="12">
        <v>5.5358585600000003</v>
      </c>
      <c r="O187" s="12">
        <v>132.448304485883</v>
      </c>
      <c r="P187" s="12">
        <v>72.127250957000001</v>
      </c>
      <c r="Q187" s="12">
        <v>4.4360874749999999</v>
      </c>
      <c r="R187" s="12">
        <v>59.966541478000003</v>
      </c>
      <c r="S187" s="12">
        <v>618.45887816592699</v>
      </c>
      <c r="T187" s="12" t="s">
        <v>333</v>
      </c>
      <c r="U187" t="s">
        <v>469</v>
      </c>
    </row>
    <row r="188" spans="1:21" x14ac:dyDescent="0.2">
      <c r="A188" s="12" t="s">
        <v>192</v>
      </c>
      <c r="B188" s="12"/>
      <c r="C188" s="12">
        <v>9</v>
      </c>
      <c r="D188" s="12">
        <v>5</v>
      </c>
      <c r="E188" s="12">
        <v>6</v>
      </c>
      <c r="F188" s="12">
        <v>79.221524953842106</v>
      </c>
      <c r="G188" s="12">
        <v>8.87300300598144</v>
      </c>
      <c r="H188" s="12">
        <v>66.440825939178396</v>
      </c>
      <c r="I188" s="12">
        <v>578.67001386192806</v>
      </c>
      <c r="K188" t="s">
        <v>469</v>
      </c>
      <c r="M188" s="12">
        <v>110.265735149383</v>
      </c>
      <c r="N188" s="12">
        <v>5.5244612010000003</v>
      </c>
      <c r="O188" s="12">
        <v>104.741273948383</v>
      </c>
      <c r="P188" s="12">
        <v>77.552646921999994</v>
      </c>
      <c r="Q188" s="12">
        <v>7.3457262249999999</v>
      </c>
      <c r="R188" s="12">
        <v>23.905895222000002</v>
      </c>
      <c r="S188" s="12">
        <v>578.67001386192806</v>
      </c>
      <c r="T188" s="12" t="s">
        <v>333</v>
      </c>
      <c r="U188" t="s">
        <v>469</v>
      </c>
    </row>
    <row r="189" spans="1:21" x14ac:dyDescent="0.2">
      <c r="A189" s="12" t="s">
        <v>195</v>
      </c>
      <c r="B189" s="12"/>
      <c r="C189" s="12">
        <v>9</v>
      </c>
      <c r="D189" s="12">
        <v>5</v>
      </c>
      <c r="E189" s="12">
        <v>6</v>
      </c>
      <c r="F189" s="12">
        <v>178.00473690032899</v>
      </c>
      <c r="G189" s="12">
        <v>8.9058430194854701</v>
      </c>
      <c r="H189" s="12">
        <v>165.180006027221</v>
      </c>
      <c r="I189" s="12">
        <v>590.10712208380301</v>
      </c>
      <c r="K189" t="s">
        <v>469</v>
      </c>
      <c r="M189" s="12">
        <v>89.794265031814504</v>
      </c>
      <c r="N189" s="12">
        <v>5.5475846669999997</v>
      </c>
      <c r="O189" s="12">
        <v>84.246680364814495</v>
      </c>
      <c r="P189" s="12">
        <v>65.715634377000001</v>
      </c>
      <c r="Q189" s="12">
        <v>6.8925904589999902</v>
      </c>
      <c r="R189" s="12">
        <v>15.713456484</v>
      </c>
      <c r="S189" s="12">
        <v>590.10712208380301</v>
      </c>
      <c r="T189" s="12" t="s">
        <v>333</v>
      </c>
      <c r="U189" t="s">
        <v>469</v>
      </c>
    </row>
    <row r="190" spans="1:21" x14ac:dyDescent="0.2">
      <c r="A190" s="12" t="s">
        <v>200</v>
      </c>
      <c r="B190" s="12"/>
      <c r="C190" s="12">
        <v>9</v>
      </c>
      <c r="D190" s="12">
        <v>5</v>
      </c>
      <c r="E190" s="12">
        <v>7</v>
      </c>
      <c r="F190" s="12">
        <v>142.50590300559901</v>
      </c>
      <c r="G190" s="12">
        <v>8.5235650539398193</v>
      </c>
      <c r="H190" s="12">
        <v>130.17291212081901</v>
      </c>
      <c r="I190" s="12">
        <v>579.970793506929</v>
      </c>
      <c r="K190" t="s">
        <v>469</v>
      </c>
      <c r="M190" s="12">
        <v>364.40619111061</v>
      </c>
      <c r="N190" s="12">
        <v>5.625850496</v>
      </c>
      <c r="O190" s="12">
        <v>358.78034061461</v>
      </c>
      <c r="P190" s="12">
        <v>73.045663427999997</v>
      </c>
      <c r="Q190" s="12">
        <v>4.9644992759999997</v>
      </c>
      <c r="R190" s="12">
        <v>284.94414527200001</v>
      </c>
      <c r="S190" s="12">
        <v>579.970793506929</v>
      </c>
      <c r="T190" s="12" t="s">
        <v>333</v>
      </c>
      <c r="U190" t="s">
        <v>469</v>
      </c>
    </row>
    <row r="191" spans="1:21" x14ac:dyDescent="0.2">
      <c r="A191" s="12" t="s">
        <v>130</v>
      </c>
      <c r="B191" s="12"/>
      <c r="C191" s="12">
        <v>10</v>
      </c>
      <c r="D191" s="12">
        <v>5</v>
      </c>
      <c r="E191" s="12">
        <v>6</v>
      </c>
      <c r="F191" s="12">
        <v>261.31808400154102</v>
      </c>
      <c r="G191" s="12">
        <v>9.0923788547515798</v>
      </c>
      <c r="H191" s="12">
        <v>248.340522050857</v>
      </c>
      <c r="I191" s="12">
        <v>603.52531393768004</v>
      </c>
      <c r="K191" t="s">
        <v>469</v>
      </c>
      <c r="M191" s="12">
        <v>171.90329003334</v>
      </c>
      <c r="N191" s="12">
        <v>5.5579487460000001</v>
      </c>
      <c r="O191" s="12">
        <v>166.34534128734001</v>
      </c>
      <c r="P191" s="12">
        <v>121.243211354</v>
      </c>
      <c r="Q191" s="12">
        <v>5.3648369849999904</v>
      </c>
      <c r="R191" s="12">
        <v>43.82485904</v>
      </c>
      <c r="S191" s="12">
        <v>604.31370621674898</v>
      </c>
      <c r="T191" s="12" t="s">
        <v>333</v>
      </c>
      <c r="U191" t="s">
        <v>469</v>
      </c>
    </row>
    <row r="192" spans="1:21" s="33" customFormat="1" x14ac:dyDescent="0.2">
      <c r="A192" s="35"/>
      <c r="B192" s="35"/>
      <c r="C192" s="35">
        <v>10</v>
      </c>
      <c r="D192" s="35">
        <v>5</v>
      </c>
      <c r="E192" s="35"/>
      <c r="F192" s="35">
        <f>AVERAGE(F172:F191)</f>
        <v>273.93918416500037</v>
      </c>
      <c r="G192" s="35">
        <f t="shared" ref="G192:S192" si="14">AVERAGE(G172:G191)</f>
        <v>8.6718418240547148</v>
      </c>
      <c r="H192" s="35">
        <f t="shared" si="14"/>
        <v>261.46528573036142</v>
      </c>
      <c r="I192" s="35">
        <f t="shared" si="14"/>
        <v>584.01759585174545</v>
      </c>
      <c r="J192" s="35"/>
      <c r="L192" s="35"/>
      <c r="M192" s="35">
        <f t="shared" si="14"/>
        <v>157.4433463215824</v>
      </c>
      <c r="N192" s="35">
        <f t="shared" si="14"/>
        <v>5.6182570902499966</v>
      </c>
      <c r="O192" s="35">
        <f t="shared" si="14"/>
        <v>151.82508923133238</v>
      </c>
      <c r="P192" s="35">
        <f t="shared" si="14"/>
        <v>74.951033420249999</v>
      </c>
      <c r="Q192" s="35">
        <f t="shared" si="14"/>
        <v>15.843766049949986</v>
      </c>
      <c r="R192" s="35">
        <f t="shared" si="14"/>
        <v>65.167350714249991</v>
      </c>
      <c r="S192" s="35">
        <f t="shared" si="14"/>
        <v>584.08817860608394</v>
      </c>
      <c r="T192" s="35"/>
    </row>
    <row r="193" spans="1:21" s="33" customFormat="1" x14ac:dyDescent="0.2">
      <c r="A193" s="33">
        <f>COUNTA(A130:A191)</f>
        <v>60</v>
      </c>
      <c r="F193" s="33">
        <f>AVERAGE(F130:F191)</f>
        <v>225.08824787755142</v>
      </c>
      <c r="G193" s="33">
        <f>AVERAGE(G130:G191)</f>
        <v>8.6706065883559553</v>
      </c>
      <c r="H193" s="33">
        <f>AVERAGE(H130:H191)</f>
        <v>212.61179508759099</v>
      </c>
      <c r="I193" s="33">
        <f>AVERAGE(I130:I191)</f>
        <v>576.25780918816645</v>
      </c>
      <c r="M193" s="33">
        <f t="shared" ref="M193:S193" si="15">AVERAGE(M130:M191)</f>
        <v>135.31740243204158</v>
      </c>
      <c r="N193" s="33">
        <f t="shared" si="15"/>
        <v>5.7624070924395179</v>
      </c>
      <c r="O193" s="33">
        <f t="shared" si="15"/>
        <v>129.55499533960202</v>
      </c>
      <c r="P193" s="33">
        <f t="shared" si="15"/>
        <v>32.961214652104836</v>
      </c>
      <c r="Q193" s="33">
        <f t="shared" si="15"/>
        <v>8.6234815405241871</v>
      </c>
      <c r="R193" s="33">
        <f t="shared" si="15"/>
        <v>92.269306334093571</v>
      </c>
      <c r="S193" s="33">
        <f t="shared" si="15"/>
        <v>576.93177609093891</v>
      </c>
      <c r="T193" s="35"/>
    </row>
    <row r="194" spans="1:21" x14ac:dyDescent="0.2">
      <c r="A194" s="11" t="s">
        <v>202</v>
      </c>
      <c r="B194" s="12"/>
      <c r="C194" s="11">
        <v>4</v>
      </c>
      <c r="D194" s="11">
        <v>2</v>
      </c>
      <c r="E194" s="11">
        <v>12</v>
      </c>
      <c r="F194" s="11">
        <v>822.873066186904</v>
      </c>
      <c r="G194" s="11">
        <v>8.5575280189514107</v>
      </c>
      <c r="H194" s="11">
        <v>811.25142788887001</v>
      </c>
      <c r="I194" s="11">
        <v>904.67917181827704</v>
      </c>
      <c r="J194" s="40" t="s">
        <v>333</v>
      </c>
      <c r="K194" t="s">
        <v>469</v>
      </c>
      <c r="M194" s="11">
        <v>4261.9901480674698</v>
      </c>
      <c r="N194" s="11">
        <v>5.1297025349999998</v>
      </c>
      <c r="O194" s="11">
        <v>4256.8604455324703</v>
      </c>
      <c r="P194" s="11">
        <v>15.394158729000001</v>
      </c>
      <c r="Q194" s="11">
        <v>8.9697402959999994</v>
      </c>
      <c r="R194" s="11">
        <v>4236.2160531689997</v>
      </c>
      <c r="S194" s="11">
        <v>904.67917181827704</v>
      </c>
      <c r="U194" t="s">
        <v>469</v>
      </c>
    </row>
    <row r="195" spans="1:21" x14ac:dyDescent="0.2">
      <c r="A195" s="12" t="s">
        <v>207</v>
      </c>
      <c r="B195" s="12"/>
      <c r="C195" s="12">
        <v>4</v>
      </c>
      <c r="D195" s="12">
        <v>2</v>
      </c>
      <c r="E195" s="12">
        <v>12</v>
      </c>
      <c r="F195" s="12">
        <v>989.79696106910706</v>
      </c>
      <c r="G195" s="12">
        <v>8.4842031002044607</v>
      </c>
      <c r="H195" s="12">
        <v>978.25549411773602</v>
      </c>
      <c r="I195" s="12">
        <v>929.59586886479701</v>
      </c>
      <c r="J195" s="41" t="s">
        <v>333</v>
      </c>
      <c r="K195" t="s">
        <v>469</v>
      </c>
      <c r="M195" s="12">
        <v>158.40813493728601</v>
      </c>
      <c r="N195" s="12">
        <v>5.165276381</v>
      </c>
      <c r="O195" s="12">
        <v>153.242858556286</v>
      </c>
      <c r="P195" s="12">
        <v>15.449401139000001</v>
      </c>
      <c r="Q195" s="12">
        <v>9.5842796909999901</v>
      </c>
      <c r="R195" s="12">
        <v>131.968906801</v>
      </c>
      <c r="S195" s="12">
        <v>929.59586886478803</v>
      </c>
      <c r="U195" t="s">
        <v>469</v>
      </c>
    </row>
    <row r="196" spans="1:21" x14ac:dyDescent="0.2">
      <c r="A196" s="12" t="s">
        <v>213</v>
      </c>
      <c r="B196" s="12"/>
      <c r="C196" s="12">
        <v>4</v>
      </c>
      <c r="D196" s="12">
        <v>2</v>
      </c>
      <c r="E196" s="12">
        <v>12</v>
      </c>
      <c r="F196" s="12">
        <v>4064.5394589900902</v>
      </c>
      <c r="G196" s="12">
        <v>8.5126180648803693</v>
      </c>
      <c r="H196" s="12">
        <v>4052.9780139923</v>
      </c>
      <c r="I196" s="12">
        <v>927.16749168383706</v>
      </c>
      <c r="J196" s="41" t="s">
        <v>333</v>
      </c>
      <c r="K196" t="s">
        <v>469</v>
      </c>
      <c r="M196" s="12">
        <v>218.28918194770799</v>
      </c>
      <c r="N196" s="12">
        <v>5.4240144370000003</v>
      </c>
      <c r="O196" s="12">
        <v>212.86516751070801</v>
      </c>
      <c r="P196" s="12">
        <v>16.070295990999998</v>
      </c>
      <c r="Q196" s="12">
        <v>16.191748181999898</v>
      </c>
      <c r="R196" s="12">
        <v>184.553249779</v>
      </c>
      <c r="S196" s="12">
        <v>927.16749168362298</v>
      </c>
      <c r="U196" t="s">
        <v>469</v>
      </c>
    </row>
    <row r="197" spans="1:21" x14ac:dyDescent="0.2">
      <c r="A197" s="12" t="s">
        <v>219</v>
      </c>
      <c r="B197" s="12"/>
      <c r="C197" s="12">
        <v>4</v>
      </c>
      <c r="D197" s="12">
        <v>2</v>
      </c>
      <c r="E197" s="12">
        <v>12</v>
      </c>
      <c r="F197" s="12">
        <v>485.60534405708302</v>
      </c>
      <c r="G197" s="12">
        <v>9.1135129928588796</v>
      </c>
      <c r="H197" s="12">
        <v>473.19950509071299</v>
      </c>
      <c r="I197" s="12">
        <v>863.44330608101302</v>
      </c>
      <c r="J197" s="41" t="s">
        <v>333</v>
      </c>
      <c r="K197" t="s">
        <v>469</v>
      </c>
      <c r="M197" s="12">
        <v>275.80629110336298</v>
      </c>
      <c r="N197" s="12">
        <v>5.1810187089999999</v>
      </c>
      <c r="O197" s="12">
        <v>270.62527239436298</v>
      </c>
      <c r="P197" s="12">
        <v>15.408366260999999</v>
      </c>
      <c r="Q197" s="12">
        <v>10.286600263</v>
      </c>
      <c r="R197" s="12">
        <v>248.702751275</v>
      </c>
      <c r="S197" s="12">
        <v>863.44330608101404</v>
      </c>
      <c r="U197" t="s">
        <v>469</v>
      </c>
    </row>
    <row r="198" spans="1:21" x14ac:dyDescent="0.2">
      <c r="A198" s="12" t="s">
        <v>225</v>
      </c>
      <c r="B198" s="12"/>
      <c r="C198" s="12">
        <v>4</v>
      </c>
      <c r="D198" s="12">
        <v>2</v>
      </c>
      <c r="E198" s="12">
        <v>11</v>
      </c>
      <c r="F198" s="12">
        <v>414.562586069107</v>
      </c>
      <c r="G198" s="12">
        <v>8.5858390331268293</v>
      </c>
      <c r="H198" s="12">
        <v>402.901463985443</v>
      </c>
      <c r="I198" s="12">
        <v>857.03541608793705</v>
      </c>
      <c r="J198" s="41" t="s">
        <v>333</v>
      </c>
      <c r="K198" t="s">
        <v>469</v>
      </c>
      <c r="M198" s="12">
        <v>130.48468804359399</v>
      </c>
      <c r="N198" s="12">
        <v>5.2270139149999997</v>
      </c>
      <c r="O198" s="12">
        <v>125.257674128594</v>
      </c>
      <c r="P198" s="12">
        <v>15.740371499</v>
      </c>
      <c r="Q198" s="12">
        <v>6.3099266359999904</v>
      </c>
      <c r="R198" s="12">
        <v>107.031521071</v>
      </c>
      <c r="S198" s="12">
        <v>857.03541608793603</v>
      </c>
      <c r="U198" t="s">
        <v>469</v>
      </c>
    </row>
    <row r="199" spans="1:21" x14ac:dyDescent="0.2">
      <c r="A199" s="12" t="s">
        <v>340</v>
      </c>
      <c r="B199" s="12"/>
      <c r="C199" s="12">
        <v>4</v>
      </c>
      <c r="D199" s="12">
        <v>2</v>
      </c>
      <c r="E199" s="12">
        <v>11</v>
      </c>
      <c r="F199" s="12">
        <v>10858.8799788951</v>
      </c>
      <c r="G199" s="12">
        <v>8.5539870262145996</v>
      </c>
      <c r="H199" s="12">
        <v>10847.261812925301</v>
      </c>
      <c r="I199" s="12">
        <v>887.94699730896104</v>
      </c>
      <c r="J199" s="41">
        <v>2.33382170310454E-2</v>
      </c>
      <c r="K199" t="s">
        <v>470</v>
      </c>
      <c r="M199" s="12">
        <v>3157.3460731506302</v>
      </c>
      <c r="N199" s="12">
        <v>5.2899596940000002</v>
      </c>
      <c r="O199" s="12">
        <v>3152.0561134566301</v>
      </c>
      <c r="P199" s="12">
        <v>15.6980208</v>
      </c>
      <c r="Q199" s="12">
        <v>16.987719599999998</v>
      </c>
      <c r="R199" s="12">
        <v>3123.210683235</v>
      </c>
      <c r="S199" s="12">
        <v>886.57651776662601</v>
      </c>
      <c r="U199" t="s">
        <v>469</v>
      </c>
    </row>
    <row r="200" spans="1:21" x14ac:dyDescent="0.2">
      <c r="A200" s="12" t="s">
        <v>235</v>
      </c>
      <c r="B200" s="12"/>
      <c r="C200" s="12">
        <v>4</v>
      </c>
      <c r="D200" s="12">
        <v>2</v>
      </c>
      <c r="E200" s="12">
        <v>10</v>
      </c>
      <c r="F200" s="12">
        <v>10858.728393077799</v>
      </c>
      <c r="G200" s="12">
        <v>8.5523779392242396</v>
      </c>
      <c r="H200" s="12">
        <v>10847.112338066099</v>
      </c>
      <c r="I200" s="12">
        <v>869.92117614918402</v>
      </c>
      <c r="J200" s="41">
        <v>1.44211065781873E-2</v>
      </c>
      <c r="K200" t="s">
        <v>470</v>
      </c>
      <c r="M200" s="12">
        <v>1193.72099089622</v>
      </c>
      <c r="N200" s="12">
        <v>5.2431062470000001</v>
      </c>
      <c r="O200" s="12">
        <v>1188.47788464922</v>
      </c>
      <c r="P200" s="12">
        <v>15.453034207</v>
      </c>
      <c r="Q200" s="12">
        <v>33.862499966000001</v>
      </c>
      <c r="R200" s="12">
        <v>1143.002942524</v>
      </c>
      <c r="S200" s="12">
        <v>871.40551925465002</v>
      </c>
      <c r="U200" t="s">
        <v>469</v>
      </c>
    </row>
    <row r="201" spans="1:21" x14ac:dyDescent="0.2">
      <c r="A201" s="12" t="s">
        <v>241</v>
      </c>
      <c r="B201" s="12"/>
      <c r="C201" s="12">
        <v>4</v>
      </c>
      <c r="D201" s="12">
        <v>2</v>
      </c>
      <c r="E201" s="12">
        <v>12</v>
      </c>
      <c r="F201" s="12">
        <v>10860.423424005499</v>
      </c>
      <c r="G201" s="12">
        <v>8.5003070831298793</v>
      </c>
      <c r="H201" s="12">
        <v>10848.8715708255</v>
      </c>
      <c r="I201" s="12">
        <v>930.55575742158896</v>
      </c>
      <c r="J201" s="41">
        <v>3.9422892021903702E-3</v>
      </c>
      <c r="K201" t="s">
        <v>470</v>
      </c>
      <c r="M201" s="12">
        <v>465.38230609893799</v>
      </c>
      <c r="N201" s="12">
        <v>5.6023822680000004</v>
      </c>
      <c r="O201" s="12">
        <v>459.779923830938</v>
      </c>
      <c r="P201" s="12">
        <v>15.980883165</v>
      </c>
      <c r="Q201" s="12">
        <v>20.628776463999898</v>
      </c>
      <c r="R201" s="12">
        <v>427.36414250500002</v>
      </c>
      <c r="S201" s="12">
        <v>930.55575742158896</v>
      </c>
      <c r="U201" t="s">
        <v>469</v>
      </c>
    </row>
    <row r="202" spans="1:21" x14ac:dyDescent="0.2">
      <c r="A202" s="12" t="s">
        <v>245</v>
      </c>
      <c r="B202" s="12"/>
      <c r="C202" s="12">
        <v>4</v>
      </c>
      <c r="D202" s="12">
        <v>2</v>
      </c>
      <c r="E202" s="12">
        <v>11</v>
      </c>
      <c r="F202" s="12">
        <v>10858.4522969722</v>
      </c>
      <c r="G202" s="12">
        <v>8.4793260097503609</v>
      </c>
      <c r="H202" s="12">
        <v>10846.916540145799</v>
      </c>
      <c r="I202" s="12">
        <v>870.61793028552495</v>
      </c>
      <c r="J202" s="41">
        <v>1.0097454433302001E-2</v>
      </c>
      <c r="K202" t="s">
        <v>470</v>
      </c>
      <c r="M202" s="12">
        <v>587.35036921501103</v>
      </c>
      <c r="N202" s="12">
        <v>5.6663891890000002</v>
      </c>
      <c r="O202" s="12">
        <v>581.683980026011</v>
      </c>
      <c r="P202" s="12">
        <v>15.895822236000001</v>
      </c>
      <c r="Q202" s="12">
        <v>16.404238004</v>
      </c>
      <c r="R202" s="12">
        <v>553.57101839500001</v>
      </c>
      <c r="S202" s="12">
        <v>870.25650037795697</v>
      </c>
      <c r="U202" t="s">
        <v>469</v>
      </c>
    </row>
    <row r="203" spans="1:21" x14ac:dyDescent="0.2">
      <c r="A203" s="12" t="s">
        <v>251</v>
      </c>
      <c r="B203" s="12"/>
      <c r="C203" s="12">
        <v>4</v>
      </c>
      <c r="D203" s="12">
        <v>2</v>
      </c>
      <c r="E203" s="12">
        <v>11</v>
      </c>
      <c r="F203" s="12">
        <v>10867.1596620082</v>
      </c>
      <c r="G203" s="12">
        <v>8.5499579906463605</v>
      </c>
      <c r="H203" s="12">
        <v>10855.5398318767</v>
      </c>
      <c r="I203" s="12">
        <v>884.61248507040705</v>
      </c>
      <c r="J203" s="41">
        <v>2.7018966015651E-2</v>
      </c>
      <c r="K203" t="s">
        <v>470</v>
      </c>
      <c r="M203" s="12">
        <v>173.12352395057599</v>
      </c>
      <c r="N203" s="12">
        <v>5.722305027</v>
      </c>
      <c r="O203" s="12">
        <v>167.40121892357601</v>
      </c>
      <c r="P203" s="12">
        <v>16.223003654999999</v>
      </c>
      <c r="Q203" s="12">
        <v>15.585458812999899</v>
      </c>
      <c r="R203" s="12">
        <v>139.90246270700001</v>
      </c>
      <c r="S203" s="12">
        <v>884.67255733371599</v>
      </c>
      <c r="U203" t="s">
        <v>469</v>
      </c>
    </row>
    <row r="204" spans="1:21" x14ac:dyDescent="0.2">
      <c r="A204" s="12" t="s">
        <v>257</v>
      </c>
      <c r="B204" s="12"/>
      <c r="C204" s="12">
        <v>4</v>
      </c>
      <c r="D204" s="12">
        <v>2</v>
      </c>
      <c r="E204" s="12">
        <v>11</v>
      </c>
      <c r="F204" s="12">
        <v>6344.3385901451102</v>
      </c>
      <c r="G204" s="12">
        <v>8.5170769691467196</v>
      </c>
      <c r="H204" s="12">
        <v>6332.7557189464496</v>
      </c>
      <c r="I204" s="12">
        <v>830.37386602136405</v>
      </c>
      <c r="J204" s="41" t="s">
        <v>333</v>
      </c>
      <c r="K204" t="s">
        <v>469</v>
      </c>
      <c r="M204" s="12">
        <v>2974.0322060584999</v>
      </c>
      <c r="N204" s="12">
        <v>5.6381872079999997</v>
      </c>
      <c r="O204" s="12">
        <v>2968.3940188504998</v>
      </c>
      <c r="P204" s="12">
        <v>15.968533492000001</v>
      </c>
      <c r="Q204" s="12">
        <v>20.638136064000001</v>
      </c>
      <c r="R204" s="12">
        <v>2936.0169267259998</v>
      </c>
      <c r="S204" s="12">
        <v>830.37386602136405</v>
      </c>
      <c r="U204" t="s">
        <v>469</v>
      </c>
    </row>
    <row r="205" spans="1:21" x14ac:dyDescent="0.2">
      <c r="A205" s="12" t="s">
        <v>262</v>
      </c>
      <c r="B205" s="12"/>
      <c r="C205" s="12">
        <v>4</v>
      </c>
      <c r="D205" s="12">
        <v>2</v>
      </c>
      <c r="E205" s="12">
        <v>11</v>
      </c>
      <c r="F205" s="12">
        <v>10866.8900008201</v>
      </c>
      <c r="G205" s="12">
        <v>8.5943508148193306</v>
      </c>
      <c r="H205" s="12">
        <v>10855.2143299579</v>
      </c>
      <c r="I205" s="12">
        <v>869.40557456206898</v>
      </c>
      <c r="J205" s="41">
        <v>6.7840256261062996E-3</v>
      </c>
      <c r="K205" t="s">
        <v>470</v>
      </c>
      <c r="M205" s="12">
        <v>2023.2170689105899</v>
      </c>
      <c r="N205" s="12">
        <v>5.8064567949999999</v>
      </c>
      <c r="O205" s="12">
        <v>2017.4106121155901</v>
      </c>
      <c r="P205" s="12">
        <v>16.061224224</v>
      </c>
      <c r="Q205" s="12">
        <v>30.7167289379999</v>
      </c>
      <c r="R205" s="12">
        <v>1974.9532871050001</v>
      </c>
      <c r="S205" s="12">
        <v>869.40557456206898</v>
      </c>
      <c r="U205" t="s">
        <v>469</v>
      </c>
    </row>
    <row r="206" spans="1:21" x14ac:dyDescent="0.2">
      <c r="A206" s="12" t="s">
        <v>341</v>
      </c>
      <c r="B206" s="12"/>
      <c r="C206" s="12">
        <v>4</v>
      </c>
      <c r="D206" s="12">
        <v>2</v>
      </c>
      <c r="E206" s="12">
        <v>11</v>
      </c>
      <c r="F206" s="12">
        <v>10867.7067530155</v>
      </c>
      <c r="G206" s="12">
        <v>8.5251040458679199</v>
      </c>
      <c r="H206" s="12">
        <v>10856.111525058701</v>
      </c>
      <c r="I206" s="12">
        <v>843.81242602817201</v>
      </c>
      <c r="J206" s="41">
        <v>3.7243336353403301E-3</v>
      </c>
      <c r="K206" t="s">
        <v>470</v>
      </c>
      <c r="M206" s="12">
        <v>2301.3703789710999</v>
      </c>
      <c r="N206" s="12">
        <v>5.6987365719999996</v>
      </c>
      <c r="O206" s="12">
        <v>2295.6716423990902</v>
      </c>
      <c r="P206" s="12">
        <v>16.080440183</v>
      </c>
      <c r="Q206" s="12">
        <v>221.20284844699901</v>
      </c>
      <c r="R206" s="12">
        <v>2062.6769699850001</v>
      </c>
      <c r="S206" s="12">
        <v>844.60545401275101</v>
      </c>
      <c r="U206" t="s">
        <v>469</v>
      </c>
    </row>
    <row r="207" spans="1:21" x14ac:dyDescent="0.2">
      <c r="A207" s="12" t="s">
        <v>268</v>
      </c>
      <c r="B207" s="12"/>
      <c r="C207" s="12">
        <v>4</v>
      </c>
      <c r="D207" s="12">
        <v>2</v>
      </c>
      <c r="E207" s="12">
        <v>11</v>
      </c>
      <c r="F207" s="12">
        <v>10860.259890794699</v>
      </c>
      <c r="G207" s="12">
        <v>8.5937027931213308</v>
      </c>
      <c r="H207" s="12">
        <v>10848.59207201</v>
      </c>
      <c r="I207" s="12">
        <v>852.92252955917297</v>
      </c>
      <c r="J207" s="41">
        <v>1.2637413054455499E-2</v>
      </c>
      <c r="K207" t="s">
        <v>470</v>
      </c>
      <c r="M207" s="35">
        <v>15882.131485939</v>
      </c>
      <c r="N207" s="12">
        <v>5.547701268</v>
      </c>
      <c r="O207" s="12">
        <v>15876.583784671</v>
      </c>
      <c r="P207" s="12">
        <v>15.944582983</v>
      </c>
      <c r="Q207" s="12">
        <v>38.682345550000001</v>
      </c>
      <c r="R207" s="12">
        <v>15826.086121683</v>
      </c>
      <c r="S207" s="12">
        <v>851.42290134817199</v>
      </c>
      <c r="U207" t="s">
        <v>469</v>
      </c>
    </row>
    <row r="208" spans="1:21" x14ac:dyDescent="0.2">
      <c r="A208" s="12" t="s">
        <v>273</v>
      </c>
      <c r="B208" s="12"/>
      <c r="C208" s="12">
        <v>4</v>
      </c>
      <c r="D208" s="12">
        <v>2</v>
      </c>
      <c r="E208" s="12">
        <v>11</v>
      </c>
      <c r="F208" s="12">
        <v>10863.4648809432</v>
      </c>
      <c r="G208" s="12">
        <v>8.52188897132873</v>
      </c>
      <c r="H208" s="12">
        <v>10851.874357938699</v>
      </c>
      <c r="I208" s="12">
        <v>843.66914797906202</v>
      </c>
      <c r="J208" s="41">
        <v>5.95452642891681E-3</v>
      </c>
      <c r="K208" t="s">
        <v>470</v>
      </c>
      <c r="M208" s="12">
        <v>1040.9510779380701</v>
      </c>
      <c r="N208" s="12">
        <v>5.615525087</v>
      </c>
      <c r="O208" s="12">
        <v>1035.3355528510799</v>
      </c>
      <c r="P208" s="12">
        <v>16.305183073999999</v>
      </c>
      <c r="Q208" s="12">
        <v>119.996020882</v>
      </c>
      <c r="R208" s="12">
        <v>903.24245316099996</v>
      </c>
      <c r="S208" s="12">
        <v>843.66914797906202</v>
      </c>
      <c r="U208" t="s">
        <v>469</v>
      </c>
    </row>
    <row r="209" spans="1:21" x14ac:dyDescent="0.2">
      <c r="A209" s="12" t="s">
        <v>278</v>
      </c>
      <c r="B209" s="12"/>
      <c r="C209" s="12">
        <v>4</v>
      </c>
      <c r="D209" s="12">
        <v>2</v>
      </c>
      <c r="E209" s="12">
        <v>11</v>
      </c>
      <c r="F209" s="12">
        <v>636.91026306152298</v>
      </c>
      <c r="G209" s="12">
        <v>8.5267858505249006</v>
      </c>
      <c r="H209" s="12">
        <v>625.31623005867004</v>
      </c>
      <c r="I209" s="12">
        <v>858.58239070955904</v>
      </c>
      <c r="J209" s="41" t="s">
        <v>333</v>
      </c>
      <c r="K209" t="s">
        <v>469</v>
      </c>
      <c r="M209" s="12">
        <v>31.7826199531555</v>
      </c>
      <c r="N209" s="12">
        <v>5.5550731969999996</v>
      </c>
      <c r="O209" s="12">
        <v>26.227546756155501</v>
      </c>
      <c r="P209" s="12">
        <v>15.764078252999999</v>
      </c>
      <c r="Q209" s="12">
        <v>7.8271974179999999</v>
      </c>
      <c r="R209" s="12">
        <v>6.7724577589999999</v>
      </c>
      <c r="S209" s="12">
        <v>858.58239070955904</v>
      </c>
      <c r="U209" t="s">
        <v>469</v>
      </c>
    </row>
    <row r="210" spans="1:21" x14ac:dyDescent="0.2">
      <c r="A210" s="12" t="s">
        <v>282</v>
      </c>
      <c r="B210" s="12"/>
      <c r="C210" s="12">
        <v>4</v>
      </c>
      <c r="D210" s="12">
        <v>2</v>
      </c>
      <c r="E210" s="12">
        <v>12</v>
      </c>
      <c r="F210" s="12">
        <v>4915.0569651126798</v>
      </c>
      <c r="G210" s="12">
        <v>8.5271651744842494</v>
      </c>
      <c r="H210" s="12">
        <v>4903.4640200138001</v>
      </c>
      <c r="I210" s="12">
        <v>945.78127214580604</v>
      </c>
      <c r="J210" s="41" t="s">
        <v>333</v>
      </c>
      <c r="K210" t="s">
        <v>469</v>
      </c>
      <c r="M210" s="12">
        <v>3748.82194209098</v>
      </c>
      <c r="N210" s="12">
        <v>5.5697055659999997</v>
      </c>
      <c r="O210" s="12">
        <v>3743.2522365249802</v>
      </c>
      <c r="P210" s="12">
        <v>15.846788374000001</v>
      </c>
      <c r="Q210" s="12">
        <v>8.3255728930000004</v>
      </c>
      <c r="R210" s="12">
        <v>3723.2247603830001</v>
      </c>
      <c r="S210" s="12">
        <v>945.78127214580604</v>
      </c>
      <c r="U210" t="s">
        <v>469</v>
      </c>
    </row>
    <row r="211" spans="1:21" x14ac:dyDescent="0.2">
      <c r="A211" s="12" t="s">
        <v>289</v>
      </c>
      <c r="B211" s="12"/>
      <c r="C211" s="12">
        <v>4</v>
      </c>
      <c r="D211" s="12">
        <v>2</v>
      </c>
      <c r="E211" s="12">
        <v>12</v>
      </c>
      <c r="F211" s="12">
        <v>493.66643691062899</v>
      </c>
      <c r="G211" s="12">
        <v>8.5366268157958896</v>
      </c>
      <c r="H211" s="12">
        <v>482.06255912780699</v>
      </c>
      <c r="I211" s="12">
        <v>901.57075664047102</v>
      </c>
      <c r="J211" s="41" t="s">
        <v>333</v>
      </c>
      <c r="K211" t="s">
        <v>469</v>
      </c>
      <c r="M211" s="12">
        <v>60.8222110271453</v>
      </c>
      <c r="N211" s="12">
        <v>5.771725343</v>
      </c>
      <c r="O211" s="12">
        <v>55.050485684145301</v>
      </c>
      <c r="P211" s="12">
        <v>16.372783288000001</v>
      </c>
      <c r="Q211" s="12">
        <v>11.817658577</v>
      </c>
      <c r="R211" s="12">
        <v>31.179840859999999</v>
      </c>
      <c r="S211" s="12">
        <v>902.25635164028199</v>
      </c>
      <c r="U211" t="s">
        <v>469</v>
      </c>
    </row>
    <row r="212" spans="1:21" x14ac:dyDescent="0.2">
      <c r="A212" s="12" t="s">
        <v>293</v>
      </c>
      <c r="B212" s="12"/>
      <c r="C212" s="12">
        <v>4</v>
      </c>
      <c r="D212" s="12">
        <v>2</v>
      </c>
      <c r="E212" s="12">
        <v>11</v>
      </c>
      <c r="F212" s="12">
        <v>209.04096198081899</v>
      </c>
      <c r="G212" s="12">
        <v>8.5355379581451398</v>
      </c>
      <c r="H212" s="12">
        <v>197.42179799079801</v>
      </c>
      <c r="I212" s="12">
        <v>855.00235402994701</v>
      </c>
      <c r="J212" s="41" t="s">
        <v>333</v>
      </c>
      <c r="K212" t="s">
        <v>469</v>
      </c>
      <c r="M212" s="12">
        <v>85.801421880722003</v>
      </c>
      <c r="N212" s="12">
        <v>5.54545917</v>
      </c>
      <c r="O212" s="12">
        <v>80.255962710722002</v>
      </c>
      <c r="P212" s="12">
        <v>15.866675452999999</v>
      </c>
      <c r="Q212" s="12">
        <v>9.3336671809999991</v>
      </c>
      <c r="R212" s="12">
        <v>59.192230604000002</v>
      </c>
      <c r="S212" s="12">
        <v>855.00235402994701</v>
      </c>
      <c r="U212" t="s">
        <v>469</v>
      </c>
    </row>
    <row r="213" spans="1:21" x14ac:dyDescent="0.2">
      <c r="A213" s="12" t="s">
        <v>297</v>
      </c>
      <c r="B213" s="12"/>
      <c r="C213" s="12">
        <v>4</v>
      </c>
      <c r="D213" s="12">
        <v>2</v>
      </c>
      <c r="E213" s="12">
        <v>12</v>
      </c>
      <c r="F213" s="12">
        <v>327.82008910179098</v>
      </c>
      <c r="G213" s="12">
        <v>9.1427640914916992</v>
      </c>
      <c r="H213" s="12">
        <v>315.38515686988802</v>
      </c>
      <c r="I213" s="12">
        <v>909.08900057300696</v>
      </c>
      <c r="J213" s="41" t="s">
        <v>333</v>
      </c>
      <c r="K213" t="s">
        <v>469</v>
      </c>
      <c r="M213" s="12">
        <v>40.004289150238002</v>
      </c>
      <c r="N213" s="12">
        <v>5.5588537139999996</v>
      </c>
      <c r="O213" s="12">
        <v>34.445435436238</v>
      </c>
      <c r="P213" s="12">
        <v>16.083726713000001</v>
      </c>
      <c r="Q213" s="12">
        <v>10.924403509999999</v>
      </c>
      <c r="R213" s="12">
        <v>11.588453839</v>
      </c>
      <c r="S213" s="12">
        <v>909.08900057300696</v>
      </c>
      <c r="U213" t="s">
        <v>469</v>
      </c>
    </row>
    <row r="214" spans="1:21" s="33" customFormat="1" x14ac:dyDescent="0.2">
      <c r="A214" s="35"/>
      <c r="B214" s="35"/>
      <c r="C214" s="35">
        <v>4</v>
      </c>
      <c r="D214" s="35">
        <v>2</v>
      </c>
      <c r="E214" s="35"/>
      <c r="F214" s="35">
        <f>AVERAGE(F194:F213)</f>
        <v>5873.3088001608576</v>
      </c>
      <c r="G214" s="35">
        <f t="shared" ref="G214:S214" si="16">AVERAGE(G194:G213)</f>
        <v>8.5955330371856657</v>
      </c>
      <c r="H214" s="35">
        <f t="shared" si="16"/>
        <v>5861.6242883443583</v>
      </c>
      <c r="I214" s="35">
        <f t="shared" si="16"/>
        <v>881.78924595100796</v>
      </c>
      <c r="J214" s="35"/>
      <c r="L214" s="35"/>
      <c r="M214" s="35">
        <f t="shared" si="16"/>
        <v>1940.5418204665152</v>
      </c>
      <c r="N214" s="35">
        <f t="shared" si="16"/>
        <v>5.4979296160999995</v>
      </c>
      <c r="O214" s="35">
        <f t="shared" si="16"/>
        <v>1935.0438908504148</v>
      </c>
      <c r="P214" s="35">
        <f t="shared" si="16"/>
        <v>15.88036868595</v>
      </c>
      <c r="Q214" s="35">
        <f t="shared" si="16"/>
        <v>31.713778368749928</v>
      </c>
      <c r="R214" s="35">
        <f t="shared" si="16"/>
        <v>1891.5228616783002</v>
      </c>
      <c r="S214" s="35">
        <f t="shared" si="16"/>
        <v>881.77882098560985</v>
      </c>
    </row>
    <row r="215" spans="1:21" x14ac:dyDescent="0.2">
      <c r="A215" s="12" t="s">
        <v>204</v>
      </c>
      <c r="B215" s="12"/>
      <c r="C215" s="12">
        <v>7</v>
      </c>
      <c r="D215" s="12">
        <v>4</v>
      </c>
      <c r="E215" s="12">
        <v>10</v>
      </c>
      <c r="F215" s="12">
        <v>1258.4859991073599</v>
      </c>
      <c r="G215" s="12">
        <v>8.5124499797820992</v>
      </c>
      <c r="H215" s="12">
        <v>1246.9036130905099</v>
      </c>
      <c r="I215" s="12">
        <v>747.15817166929605</v>
      </c>
      <c r="J215" s="41" t="s">
        <v>333</v>
      </c>
      <c r="K215" t="s">
        <v>469</v>
      </c>
      <c r="M215" s="12">
        <v>742.80933499336197</v>
      </c>
      <c r="N215" s="12">
        <v>5.1953502230000002</v>
      </c>
      <c r="O215" s="12">
        <v>737.61398477036198</v>
      </c>
      <c r="P215" s="12">
        <v>81.129356295999997</v>
      </c>
      <c r="Q215" s="12">
        <v>60.518288323999997</v>
      </c>
      <c r="R215" s="12">
        <v>599.69013471000005</v>
      </c>
      <c r="S215" s="12">
        <v>747.15817166929605</v>
      </c>
      <c r="U215" t="s">
        <v>469</v>
      </c>
    </row>
    <row r="216" spans="1:21" x14ac:dyDescent="0.2">
      <c r="A216" s="12" t="s">
        <v>208</v>
      </c>
      <c r="B216" s="12"/>
      <c r="C216" s="12">
        <v>7</v>
      </c>
      <c r="D216" s="12">
        <v>4</v>
      </c>
      <c r="E216" s="12">
        <v>10</v>
      </c>
      <c r="F216" s="12">
        <v>372.89262509346003</v>
      </c>
      <c r="G216" s="12">
        <v>8.4830820560455305</v>
      </c>
      <c r="H216" s="12">
        <v>361.35856986045798</v>
      </c>
      <c r="I216" s="12">
        <v>744.25675699009003</v>
      </c>
      <c r="J216" s="41" t="s">
        <v>333</v>
      </c>
      <c r="K216" t="s">
        <v>469</v>
      </c>
      <c r="M216" s="12">
        <v>152.203788042068</v>
      </c>
      <c r="N216" s="12">
        <v>5.2200060379999904</v>
      </c>
      <c r="O216" s="12">
        <v>146.98378200406799</v>
      </c>
      <c r="P216" s="12">
        <v>74.900336887999998</v>
      </c>
      <c r="Q216" s="12">
        <v>53.148878979999999</v>
      </c>
      <c r="R216" s="12">
        <v>22.693135711</v>
      </c>
      <c r="S216" s="12">
        <v>744.25675699009105</v>
      </c>
      <c r="U216" t="s">
        <v>469</v>
      </c>
    </row>
    <row r="217" spans="1:21" x14ac:dyDescent="0.2">
      <c r="A217" s="12" t="s">
        <v>215</v>
      </c>
      <c r="B217" s="12"/>
      <c r="C217" s="12">
        <v>7</v>
      </c>
      <c r="D217" s="12">
        <v>4</v>
      </c>
      <c r="E217" s="12">
        <v>9</v>
      </c>
      <c r="F217" s="12">
        <v>6601.6563398837998</v>
      </c>
      <c r="G217" s="12">
        <v>8.5578658580779994</v>
      </c>
      <c r="H217" s="12">
        <v>6590.0206198692304</v>
      </c>
      <c r="I217" s="12">
        <v>705.85673858062103</v>
      </c>
      <c r="J217" s="41" t="s">
        <v>333</v>
      </c>
      <c r="K217" t="s">
        <v>469</v>
      </c>
      <c r="M217" s="12">
        <v>1974.6188421249301</v>
      </c>
      <c r="N217" s="12">
        <v>5.2207928089999998</v>
      </c>
      <c r="O217" s="12">
        <v>1969.3980493159299</v>
      </c>
      <c r="P217" s="12">
        <v>83.012175307999996</v>
      </c>
      <c r="Q217" s="12">
        <v>11.519786371999899</v>
      </c>
      <c r="R217" s="12">
        <v>1878.620353321</v>
      </c>
      <c r="S217" s="12">
        <v>705.85673858062103</v>
      </c>
      <c r="U217" t="s">
        <v>469</v>
      </c>
    </row>
    <row r="218" spans="1:21" x14ac:dyDescent="0.2">
      <c r="A218" s="12" t="s">
        <v>221</v>
      </c>
      <c r="B218" s="12"/>
      <c r="C218" s="12">
        <v>7</v>
      </c>
      <c r="D218" s="12">
        <v>4</v>
      </c>
      <c r="E218" s="12">
        <v>9</v>
      </c>
      <c r="F218" s="12">
        <v>656.82336091995205</v>
      </c>
      <c r="G218" s="12">
        <v>8.4885518550872803</v>
      </c>
      <c r="H218" s="12">
        <v>645.27609181404102</v>
      </c>
      <c r="I218" s="12">
        <v>732.07830938304699</v>
      </c>
      <c r="J218" s="41" t="s">
        <v>333</v>
      </c>
      <c r="K218" t="s">
        <v>469</v>
      </c>
      <c r="M218" s="12">
        <v>435.45892786979601</v>
      </c>
      <c r="N218" s="12">
        <v>5.363863018</v>
      </c>
      <c r="O218" s="12">
        <v>430.095064851796</v>
      </c>
      <c r="P218" s="12">
        <v>80.863833412000005</v>
      </c>
      <c r="Q218" s="12">
        <v>201.51123637800001</v>
      </c>
      <c r="R218" s="12">
        <v>151.572512141</v>
      </c>
      <c r="S218" s="12">
        <v>732.07830938304699</v>
      </c>
      <c r="U218" t="s">
        <v>469</v>
      </c>
    </row>
    <row r="219" spans="1:21" x14ac:dyDescent="0.2">
      <c r="A219" s="12" t="s">
        <v>226</v>
      </c>
      <c r="B219" s="12"/>
      <c r="C219" s="12">
        <v>7</v>
      </c>
      <c r="D219" s="12">
        <v>4</v>
      </c>
      <c r="E219" s="12">
        <v>9</v>
      </c>
      <c r="F219" s="12">
        <v>258.2442009449</v>
      </c>
      <c r="G219" s="12">
        <v>8.5931420326232892</v>
      </c>
      <c r="H219" s="12">
        <v>246.57460689544601</v>
      </c>
      <c r="I219" s="12">
        <v>728.449915009915</v>
      </c>
      <c r="J219" s="41" t="s">
        <v>333</v>
      </c>
      <c r="K219" t="s">
        <v>469</v>
      </c>
      <c r="M219" s="12">
        <v>306.68645811080899</v>
      </c>
      <c r="N219" s="12">
        <v>5.2228947989999996</v>
      </c>
      <c r="O219" s="12">
        <v>301.46356331180903</v>
      </c>
      <c r="P219" s="12">
        <v>73.285410732000003</v>
      </c>
      <c r="Q219" s="12">
        <v>41.284531479999998</v>
      </c>
      <c r="R219" s="12">
        <v>190.638643503</v>
      </c>
      <c r="S219" s="12">
        <v>728.449915009915</v>
      </c>
      <c r="U219" t="s">
        <v>469</v>
      </c>
    </row>
    <row r="220" spans="1:21" x14ac:dyDescent="0.2">
      <c r="A220" s="12" t="s">
        <v>231</v>
      </c>
      <c r="B220" s="12"/>
      <c r="C220" s="12">
        <v>7</v>
      </c>
      <c r="D220" s="12">
        <v>4</v>
      </c>
      <c r="E220" s="12">
        <v>9</v>
      </c>
      <c r="F220" s="12">
        <v>10862.226708889</v>
      </c>
      <c r="G220" s="12">
        <v>8.4729437828063894</v>
      </c>
      <c r="H220" s="12">
        <v>10850.621938943799</v>
      </c>
      <c r="I220" s="12">
        <v>733.48625023431805</v>
      </c>
      <c r="J220" s="41">
        <v>2.4323620175045999E-2</v>
      </c>
      <c r="K220" t="s">
        <v>470</v>
      </c>
      <c r="M220" s="12">
        <v>2317.0106301307601</v>
      </c>
      <c r="N220" s="12">
        <v>5.2191424519999998</v>
      </c>
      <c r="O220" s="12">
        <v>2311.7914876787599</v>
      </c>
      <c r="P220" s="12">
        <v>82.272819231</v>
      </c>
      <c r="Q220" s="12">
        <v>42.770593906000002</v>
      </c>
      <c r="R220" s="12">
        <v>2190.503682431</v>
      </c>
      <c r="S220" s="12">
        <v>731.301627342247</v>
      </c>
      <c r="U220" t="s">
        <v>469</v>
      </c>
    </row>
    <row r="221" spans="1:21" x14ac:dyDescent="0.2">
      <c r="A221" s="12" t="s">
        <v>237</v>
      </c>
      <c r="B221" s="12"/>
      <c r="C221" s="12">
        <v>7</v>
      </c>
      <c r="D221" s="12">
        <v>4</v>
      </c>
      <c r="E221" s="12">
        <v>10</v>
      </c>
      <c r="F221" s="12">
        <v>7170.4303140640204</v>
      </c>
      <c r="G221" s="12">
        <v>8.5165929794311506</v>
      </c>
      <c r="H221" s="12">
        <v>7158.8069980144501</v>
      </c>
      <c r="I221" s="12">
        <v>766.43645298435899</v>
      </c>
      <c r="J221" s="41" t="s">
        <v>333</v>
      </c>
      <c r="K221" t="s">
        <v>469</v>
      </c>
      <c r="M221" s="12">
        <v>436.85599398612902</v>
      </c>
      <c r="N221" s="12">
        <v>5.214215695</v>
      </c>
      <c r="O221" s="12">
        <v>431.64177829112901</v>
      </c>
      <c r="P221" s="12">
        <v>75.518136224000003</v>
      </c>
      <c r="Q221" s="12">
        <v>34.667701913000002</v>
      </c>
      <c r="R221" s="12">
        <v>325.21120015299999</v>
      </c>
      <c r="S221" s="12">
        <v>766.43645298435899</v>
      </c>
      <c r="U221" t="s">
        <v>469</v>
      </c>
    </row>
    <row r="222" spans="1:21" x14ac:dyDescent="0.2">
      <c r="A222" s="12" t="s">
        <v>243</v>
      </c>
      <c r="B222" s="12"/>
      <c r="C222" s="12">
        <v>7</v>
      </c>
      <c r="D222" s="12">
        <v>4</v>
      </c>
      <c r="E222" s="12">
        <v>10</v>
      </c>
      <c r="F222" s="12">
        <v>10862.325949907299</v>
      </c>
      <c r="G222" s="12">
        <v>8.5008678436279297</v>
      </c>
      <c r="H222" s="12">
        <v>10850.770273923799</v>
      </c>
      <c r="I222" s="12">
        <v>732.93066994389903</v>
      </c>
      <c r="J222" s="41">
        <v>1.9365576099395002E-2</v>
      </c>
      <c r="K222" t="s">
        <v>470</v>
      </c>
      <c r="M222" s="12">
        <v>673.86127901077202</v>
      </c>
      <c r="N222" s="12">
        <v>5.6557475669999997</v>
      </c>
      <c r="O222" s="12">
        <v>668.20553144377197</v>
      </c>
      <c r="P222" s="12">
        <v>82.052285820999998</v>
      </c>
      <c r="Q222" s="12">
        <v>9.6970853760000004</v>
      </c>
      <c r="R222" s="12">
        <v>580.62472864200004</v>
      </c>
      <c r="S222" s="12">
        <v>731.89282430024002</v>
      </c>
      <c r="U222" t="s">
        <v>469</v>
      </c>
    </row>
    <row r="223" spans="1:21" x14ac:dyDescent="0.2">
      <c r="A223" s="12" t="s">
        <v>247</v>
      </c>
      <c r="B223" s="12"/>
      <c r="C223" s="12">
        <v>7</v>
      </c>
      <c r="D223" s="12">
        <v>4</v>
      </c>
      <c r="E223" s="12">
        <v>10</v>
      </c>
      <c r="F223" s="12">
        <v>10872.2293109893</v>
      </c>
      <c r="G223" s="12">
        <v>8.5000669956207204</v>
      </c>
      <c r="H223" s="12">
        <v>10860.621006011899</v>
      </c>
      <c r="I223" s="12">
        <v>734.23864775306902</v>
      </c>
      <c r="J223" s="41">
        <v>1.14042359490347E-2</v>
      </c>
      <c r="K223" t="s">
        <v>470</v>
      </c>
      <c r="M223" s="12">
        <v>569.62884187698296</v>
      </c>
      <c r="N223" s="12">
        <v>5.6333855909999997</v>
      </c>
      <c r="O223" s="12">
        <v>563.99545628598298</v>
      </c>
      <c r="P223" s="12">
        <v>78.883858355000001</v>
      </c>
      <c r="Q223" s="12">
        <v>55.255672789000002</v>
      </c>
      <c r="R223" s="12">
        <v>433.996396925</v>
      </c>
      <c r="S223" s="12">
        <v>734.23864775306902</v>
      </c>
      <c r="U223" t="s">
        <v>469</v>
      </c>
    </row>
    <row r="224" spans="1:21" x14ac:dyDescent="0.2">
      <c r="A224" s="12" t="s">
        <v>253</v>
      </c>
      <c r="B224" s="12"/>
      <c r="C224" s="12">
        <v>7</v>
      </c>
      <c r="D224" s="12">
        <v>4</v>
      </c>
      <c r="E224" s="12">
        <v>9</v>
      </c>
      <c r="F224" s="12">
        <v>10865.8607769012</v>
      </c>
      <c r="G224" s="12">
        <v>9.6899898052215505</v>
      </c>
      <c r="H224" s="12">
        <v>10852.748437881401</v>
      </c>
      <c r="I224" s="12">
        <v>742.29954779596403</v>
      </c>
      <c r="J224" s="41">
        <v>1.45456716378532E-2</v>
      </c>
      <c r="K224" t="s">
        <v>470</v>
      </c>
      <c r="M224" s="12">
        <v>8758.2324459552692</v>
      </c>
      <c r="N224" s="12">
        <v>5.606908936</v>
      </c>
      <c r="O224" s="12">
        <v>8752.6255370192703</v>
      </c>
      <c r="P224" s="12">
        <v>73.380734523000001</v>
      </c>
      <c r="Q224" s="12">
        <v>144.805980987</v>
      </c>
      <c r="R224" s="12">
        <v>8538.5502174779995</v>
      </c>
      <c r="S224" s="12">
        <v>742.21627896121799</v>
      </c>
      <c r="U224" t="s">
        <v>469</v>
      </c>
    </row>
    <row r="225" spans="1:21" x14ac:dyDescent="0.2">
      <c r="A225" s="12" t="s">
        <v>260</v>
      </c>
      <c r="B225" s="12"/>
      <c r="C225" s="12">
        <v>7</v>
      </c>
      <c r="D225" s="12">
        <v>4</v>
      </c>
      <c r="E225" s="12">
        <v>9</v>
      </c>
      <c r="F225" s="12">
        <v>10878.095494031901</v>
      </c>
      <c r="G225" s="12">
        <v>9.1249859333038295</v>
      </c>
      <c r="H225" s="12">
        <v>10865.715105056701</v>
      </c>
      <c r="I225" s="12">
        <v>727.71644831790695</v>
      </c>
      <c r="J225" s="41">
        <v>1.6709636121136101E-2</v>
      </c>
      <c r="K225" t="s">
        <v>470</v>
      </c>
      <c r="M225" s="12">
        <v>2794.9542419910399</v>
      </c>
      <c r="N225" s="12">
        <v>5.7294662339999904</v>
      </c>
      <c r="O225" s="12">
        <v>2789.2247757570399</v>
      </c>
      <c r="P225" s="12">
        <v>82.688171191999999</v>
      </c>
      <c r="Q225" s="12">
        <v>205.899633537</v>
      </c>
      <c r="R225" s="12">
        <v>2504.8745720860002</v>
      </c>
      <c r="S225" s="12">
        <v>724.63172480827302</v>
      </c>
      <c r="U225" t="s">
        <v>469</v>
      </c>
    </row>
    <row r="226" spans="1:21" x14ac:dyDescent="0.2">
      <c r="A226" s="12" t="s">
        <v>263</v>
      </c>
      <c r="B226" s="12"/>
      <c r="C226" s="12">
        <v>7</v>
      </c>
      <c r="D226" s="12">
        <v>4</v>
      </c>
      <c r="E226" s="12">
        <v>10</v>
      </c>
      <c r="F226" s="12">
        <v>10871.6401209831</v>
      </c>
      <c r="G226" s="12">
        <v>8.5101008415222097</v>
      </c>
      <c r="H226" s="12">
        <v>10860.0568611621</v>
      </c>
      <c r="I226" s="12">
        <v>720.96839834172602</v>
      </c>
      <c r="J226" s="41">
        <v>6.3966929693097998E-3</v>
      </c>
      <c r="K226" t="s">
        <v>470</v>
      </c>
      <c r="M226" s="12">
        <v>446.64706897735499</v>
      </c>
      <c r="N226" s="12">
        <v>5.6282722270000001</v>
      </c>
      <c r="O226" s="12">
        <v>441.01879675035502</v>
      </c>
      <c r="P226" s="12">
        <v>74.629548458000002</v>
      </c>
      <c r="Q226" s="12">
        <v>38.977420901000002</v>
      </c>
      <c r="R226" s="12">
        <v>331.56434434099998</v>
      </c>
      <c r="S226" s="12">
        <v>720.65131037196397</v>
      </c>
      <c r="U226" t="s">
        <v>469</v>
      </c>
    </row>
    <row r="227" spans="1:21" x14ac:dyDescent="0.2">
      <c r="A227" s="12" t="s">
        <v>265</v>
      </c>
      <c r="B227" s="12"/>
      <c r="C227" s="12">
        <v>7</v>
      </c>
      <c r="D227" s="12">
        <v>4</v>
      </c>
      <c r="E227" s="12">
        <v>10</v>
      </c>
      <c r="F227" s="12">
        <v>10859.384083032601</v>
      </c>
      <c r="G227" s="12">
        <v>8.5593891143798793</v>
      </c>
      <c r="H227" s="12">
        <v>10847.7403328418</v>
      </c>
      <c r="I227" s="12">
        <v>703.57436976990198</v>
      </c>
      <c r="J227" s="41">
        <v>1.0372985558678501E-2</v>
      </c>
      <c r="K227" t="s">
        <v>470</v>
      </c>
      <c r="M227" s="12">
        <v>406.80242991447398</v>
      </c>
      <c r="N227" s="12">
        <v>5.6824246770000002</v>
      </c>
      <c r="O227" s="12">
        <v>401.120005237474</v>
      </c>
      <c r="P227" s="12">
        <v>83.067384360000005</v>
      </c>
      <c r="Q227" s="12">
        <v>12.633278956</v>
      </c>
      <c r="R227" s="12">
        <v>309.62006465600001</v>
      </c>
      <c r="S227" s="12">
        <v>703.13046942794199</v>
      </c>
      <c r="U227" t="s">
        <v>469</v>
      </c>
    </row>
    <row r="228" spans="1:21" x14ac:dyDescent="0.2">
      <c r="A228" s="12" t="s">
        <v>270</v>
      </c>
      <c r="B228" s="12"/>
      <c r="C228" s="12">
        <v>7</v>
      </c>
      <c r="D228" s="12">
        <v>4</v>
      </c>
      <c r="E228" s="12">
        <v>10</v>
      </c>
      <c r="F228" s="12">
        <v>10864.232020854901</v>
      </c>
      <c r="G228" s="12">
        <v>8.5526139736175502</v>
      </c>
      <c r="H228" s="12">
        <v>10852.605310916901</v>
      </c>
      <c r="I228" s="12">
        <v>743.15016536224005</v>
      </c>
      <c r="J228" s="41">
        <v>2.8037092694189101E-3</v>
      </c>
      <c r="K228" t="s">
        <v>470</v>
      </c>
      <c r="M228" s="12">
        <v>1206.8831951618099</v>
      </c>
      <c r="N228" s="12">
        <v>5.6277144219999897</v>
      </c>
      <c r="O228" s="12">
        <v>1201.2554807398101</v>
      </c>
      <c r="P228" s="12">
        <v>78.190607904000004</v>
      </c>
      <c r="Q228" s="12">
        <v>126.917055046999</v>
      </c>
      <c r="R228" s="12">
        <v>1000.291737311</v>
      </c>
      <c r="S228" s="12">
        <v>743.15016536224005</v>
      </c>
      <c r="U228" t="s">
        <v>469</v>
      </c>
    </row>
    <row r="229" spans="1:21" x14ac:dyDescent="0.2">
      <c r="A229" s="12" t="s">
        <v>275</v>
      </c>
      <c r="B229" s="12"/>
      <c r="C229" s="12">
        <v>7</v>
      </c>
      <c r="D229" s="12">
        <v>4</v>
      </c>
      <c r="E229" s="12">
        <v>10</v>
      </c>
      <c r="F229" s="12">
        <v>10858.8050658702</v>
      </c>
      <c r="G229" s="12">
        <v>8.5333709716796804</v>
      </c>
      <c r="H229" s="12">
        <v>10847.1957819461</v>
      </c>
      <c r="I229" s="12">
        <v>734.29754159240201</v>
      </c>
      <c r="J229" s="41">
        <v>3.0670995569405698E-3</v>
      </c>
      <c r="K229" t="s">
        <v>470</v>
      </c>
      <c r="M229" s="12">
        <v>1677.09723210334</v>
      </c>
      <c r="N229" s="12">
        <v>5.5664132620000002</v>
      </c>
      <c r="O229" s="12">
        <v>1671.5308188413401</v>
      </c>
      <c r="P229" s="12">
        <v>71.617380331000007</v>
      </c>
      <c r="Q229" s="12">
        <v>241.55660551199901</v>
      </c>
      <c r="R229" s="12">
        <v>1362.4427237330001</v>
      </c>
      <c r="S229" s="12">
        <v>734.29754159240201</v>
      </c>
      <c r="U229" t="s">
        <v>469</v>
      </c>
    </row>
    <row r="230" spans="1:21" x14ac:dyDescent="0.2">
      <c r="A230" s="12" t="s">
        <v>279</v>
      </c>
      <c r="B230" s="12"/>
      <c r="C230" s="12">
        <v>7</v>
      </c>
      <c r="D230" s="12">
        <v>4</v>
      </c>
      <c r="E230" s="12">
        <v>9</v>
      </c>
      <c r="F230" s="12">
        <v>1166.0987608432699</v>
      </c>
      <c r="G230" s="12">
        <v>8.5135970115661603</v>
      </c>
      <c r="H230" s="12">
        <v>1154.5144569873801</v>
      </c>
      <c r="I230" s="12">
        <v>733.04338323688103</v>
      </c>
      <c r="J230" s="41" t="s">
        <v>333</v>
      </c>
      <c r="K230" t="s">
        <v>469</v>
      </c>
      <c r="M230" s="12">
        <v>3357.9313921928401</v>
      </c>
      <c r="N230" s="12">
        <v>5.583395876</v>
      </c>
      <c r="O230" s="12">
        <v>3352.3479963168402</v>
      </c>
      <c r="P230" s="12">
        <v>83.302232172999993</v>
      </c>
      <c r="Q230" s="12">
        <v>119.241827505</v>
      </c>
      <c r="R230" s="12">
        <v>3153.8656198379999</v>
      </c>
      <c r="S230" s="12">
        <v>733.04338323688103</v>
      </c>
      <c r="U230" t="s">
        <v>469</v>
      </c>
    </row>
    <row r="231" spans="1:21" x14ac:dyDescent="0.2">
      <c r="A231" s="12" t="s">
        <v>285</v>
      </c>
      <c r="B231" s="12"/>
      <c r="C231" s="12">
        <v>7</v>
      </c>
      <c r="D231" s="12">
        <v>4</v>
      </c>
      <c r="E231" s="12">
        <v>10</v>
      </c>
      <c r="F231" s="12">
        <v>1490.9448850154799</v>
      </c>
      <c r="G231" s="12">
        <v>8.53924512863159</v>
      </c>
      <c r="H231" s="12">
        <v>1479.33487200737</v>
      </c>
      <c r="I231" s="12">
        <v>733.06895306761896</v>
      </c>
      <c r="J231" s="41" t="s">
        <v>333</v>
      </c>
      <c r="K231" t="s">
        <v>469</v>
      </c>
      <c r="M231" s="12">
        <v>8039.9124991893696</v>
      </c>
      <c r="N231" s="12">
        <v>5.597392857</v>
      </c>
      <c r="O231" s="12">
        <v>8034.3151063323703</v>
      </c>
      <c r="P231" s="12">
        <v>76.166377721000003</v>
      </c>
      <c r="Q231" s="12">
        <v>10.653195705</v>
      </c>
      <c r="R231" s="12">
        <v>7951.5978162290003</v>
      </c>
      <c r="S231" s="12">
        <v>733.06895306761999</v>
      </c>
      <c r="U231" t="s">
        <v>469</v>
      </c>
    </row>
    <row r="232" spans="1:21" x14ac:dyDescent="0.2">
      <c r="A232" s="12" t="s">
        <v>290</v>
      </c>
      <c r="B232" s="12"/>
      <c r="C232" s="12">
        <v>7</v>
      </c>
      <c r="D232" s="12">
        <v>4</v>
      </c>
      <c r="E232" s="12">
        <v>10</v>
      </c>
      <c r="F232" s="12">
        <v>10855.7714941501</v>
      </c>
      <c r="G232" s="12">
        <v>8.5332441329956001</v>
      </c>
      <c r="H232" s="12">
        <v>10844.176383018401</v>
      </c>
      <c r="I232" s="12">
        <v>734.73703566555196</v>
      </c>
      <c r="J232" s="41">
        <v>8.8875830961927403E-4</v>
      </c>
      <c r="K232" t="s">
        <v>470</v>
      </c>
      <c r="L232" s="12"/>
      <c r="M232" s="35">
        <v>14923.564719915301</v>
      </c>
      <c r="N232" s="12">
        <v>5.5559360770000001</v>
      </c>
      <c r="O232" s="12">
        <v>14918.008783838301</v>
      </c>
      <c r="P232" s="12">
        <v>82.488238473999999</v>
      </c>
      <c r="Q232" s="12">
        <v>9.4264795049999996</v>
      </c>
      <c r="R232" s="12">
        <v>14830.173699380999</v>
      </c>
      <c r="S232" s="12">
        <v>736.99021079376405</v>
      </c>
      <c r="T232" s="12"/>
      <c r="U232" t="s">
        <v>469</v>
      </c>
    </row>
    <row r="233" spans="1:21" x14ac:dyDescent="0.2">
      <c r="A233" s="12" t="s">
        <v>294</v>
      </c>
      <c r="B233" s="12"/>
      <c r="C233" s="12">
        <v>7</v>
      </c>
      <c r="D233" s="12">
        <v>4</v>
      </c>
      <c r="E233" s="12">
        <v>10</v>
      </c>
      <c r="F233" s="12">
        <v>958.30017399787903</v>
      </c>
      <c r="G233" s="12">
        <v>8.4728589057922292</v>
      </c>
      <c r="H233" s="12">
        <v>946.760759115219</v>
      </c>
      <c r="I233" s="12">
        <v>743.55467547029104</v>
      </c>
      <c r="J233" s="41" t="s">
        <v>333</v>
      </c>
      <c r="K233" t="s">
        <v>469</v>
      </c>
      <c r="M233" s="12">
        <v>317.62489581108002</v>
      </c>
      <c r="N233" s="12">
        <v>5.7510721450000002</v>
      </c>
      <c r="O233" s="12">
        <v>311.87382366608</v>
      </c>
      <c r="P233" s="12">
        <v>81.605953589999999</v>
      </c>
      <c r="Q233" s="12">
        <v>87.894978182000003</v>
      </c>
      <c r="R233" s="12">
        <v>146.56172759</v>
      </c>
      <c r="S233" s="12">
        <v>743.55467547029195</v>
      </c>
      <c r="U233" t="s">
        <v>469</v>
      </c>
    </row>
    <row r="234" spans="1:21" x14ac:dyDescent="0.2">
      <c r="A234" s="12" t="s">
        <v>298</v>
      </c>
      <c r="B234" s="12"/>
      <c r="C234" s="12">
        <v>7</v>
      </c>
      <c r="D234" s="12">
        <v>4</v>
      </c>
      <c r="E234" s="12">
        <v>9</v>
      </c>
      <c r="F234" s="12">
        <v>481.02029585838301</v>
      </c>
      <c r="G234" s="12">
        <v>8.5111000537872297</v>
      </c>
      <c r="H234" s="12">
        <v>469.42922520637501</v>
      </c>
      <c r="I234" s="12">
        <v>730.02802753693197</v>
      </c>
      <c r="J234" s="41" t="s">
        <v>333</v>
      </c>
      <c r="K234" t="s">
        <v>469</v>
      </c>
      <c r="M234" s="12">
        <v>426.88860201835598</v>
      </c>
      <c r="N234" s="12">
        <v>5.560066333</v>
      </c>
      <c r="O234" s="12">
        <v>421.32853568535597</v>
      </c>
      <c r="P234" s="12">
        <v>72.529312312000002</v>
      </c>
      <c r="Q234" s="12">
        <v>25.674403069</v>
      </c>
      <c r="R234" s="12">
        <v>327.20073065299999</v>
      </c>
      <c r="S234" s="12">
        <v>730.028027536933</v>
      </c>
      <c r="U234" t="s">
        <v>469</v>
      </c>
    </row>
    <row r="235" spans="1:21" s="33" customFormat="1" x14ac:dyDescent="0.2">
      <c r="A235" s="35"/>
      <c r="B235" s="35"/>
      <c r="C235" s="35">
        <v>7</v>
      </c>
      <c r="D235" s="35">
        <v>4</v>
      </c>
      <c r="E235" s="35"/>
      <c r="F235" s="35">
        <f>AVERAGE(F215:F234)</f>
        <v>6453.2733990669049</v>
      </c>
      <c r="G235" s="35">
        <f t="shared" ref="G235:S235" si="17">AVERAGE(G215:G234)</f>
        <v>8.6083029627799981</v>
      </c>
      <c r="H235" s="35">
        <f t="shared" si="17"/>
        <v>6441.5615622281694</v>
      </c>
      <c r="I235" s="35">
        <f t="shared" si="17"/>
        <v>733.56652293530158</v>
      </c>
      <c r="J235" s="35"/>
      <c r="L235" s="35"/>
      <c r="M235" s="35">
        <f t="shared" si="17"/>
        <v>2498.2836409687925</v>
      </c>
      <c r="N235" s="35">
        <f t="shared" si="17"/>
        <v>5.4917230618999975</v>
      </c>
      <c r="O235" s="35">
        <f t="shared" si="17"/>
        <v>2492.7919179068926</v>
      </c>
      <c r="P235" s="35">
        <f t="shared" si="17"/>
        <v>78.57920766525001</v>
      </c>
      <c r="Q235" s="35">
        <f t="shared" si="17"/>
        <v>76.702731721199896</v>
      </c>
      <c r="R235" s="35">
        <f t="shared" si="17"/>
        <v>2341.5147020416498</v>
      </c>
      <c r="S235" s="35">
        <f t="shared" si="17"/>
        <v>733.32160923212064</v>
      </c>
    </row>
    <row r="236" spans="1:21" x14ac:dyDescent="0.2">
      <c r="A236" s="12" t="s">
        <v>206</v>
      </c>
      <c r="B236" s="12"/>
      <c r="C236" s="12">
        <v>9</v>
      </c>
      <c r="D236" s="12">
        <v>5</v>
      </c>
      <c r="E236" s="12">
        <v>10</v>
      </c>
      <c r="F236" s="12">
        <v>665.20156407356205</v>
      </c>
      <c r="G236" s="12">
        <v>8.4452059268951398</v>
      </c>
      <c r="H236" s="12">
        <v>653.70395398139897</v>
      </c>
      <c r="I236" s="12">
        <v>806.07474252105806</v>
      </c>
      <c r="J236" s="41" t="s">
        <v>333</v>
      </c>
      <c r="K236" t="s">
        <v>469</v>
      </c>
      <c r="M236" s="12">
        <v>433.43916988372803</v>
      </c>
      <c r="N236" s="12">
        <v>5.3580150560000002</v>
      </c>
      <c r="O236" s="12">
        <v>428.08115482772803</v>
      </c>
      <c r="P236" s="12">
        <v>318.62976703599998</v>
      </c>
      <c r="Q236" s="12">
        <v>9.3475712649999991</v>
      </c>
      <c r="R236" s="12">
        <v>103.876546148</v>
      </c>
      <c r="S236" s="12">
        <v>806.98565611128402</v>
      </c>
      <c r="U236" t="s">
        <v>469</v>
      </c>
    </row>
    <row r="237" spans="1:21" x14ac:dyDescent="0.2">
      <c r="A237" s="12" t="s">
        <v>210</v>
      </c>
      <c r="B237" s="12"/>
      <c r="C237" s="12">
        <v>9</v>
      </c>
      <c r="D237" s="12">
        <v>5</v>
      </c>
      <c r="E237" s="12">
        <v>9</v>
      </c>
      <c r="F237" s="12">
        <v>4066.8757028579698</v>
      </c>
      <c r="G237" s="12">
        <v>8.5036029815673793</v>
      </c>
      <c r="H237" s="12">
        <v>4055.3007729053402</v>
      </c>
      <c r="I237" s="12">
        <v>834.17200706027995</v>
      </c>
      <c r="J237" s="41" t="s">
        <v>333</v>
      </c>
      <c r="K237" t="s">
        <v>469</v>
      </c>
      <c r="M237" s="12">
        <v>593.69155812263398</v>
      </c>
      <c r="N237" s="12">
        <v>5.2194566120000001</v>
      </c>
      <c r="O237" s="12">
        <v>588.47210151063405</v>
      </c>
      <c r="P237" s="12">
        <v>332.62321478000001</v>
      </c>
      <c r="Q237" s="12">
        <v>7.78809101199999</v>
      </c>
      <c r="R237" s="12">
        <v>251.761595263</v>
      </c>
      <c r="S237" s="12">
        <v>834.17200706027995</v>
      </c>
      <c r="U237" t="s">
        <v>469</v>
      </c>
    </row>
    <row r="238" spans="1:21" x14ac:dyDescent="0.2">
      <c r="A238" s="12" t="s">
        <v>217</v>
      </c>
      <c r="B238" s="12"/>
      <c r="C238" s="12">
        <v>9</v>
      </c>
      <c r="D238" s="12">
        <v>5</v>
      </c>
      <c r="E238" s="12">
        <v>10</v>
      </c>
      <c r="F238" s="12">
        <v>2025.96138501167</v>
      </c>
      <c r="G238" s="12">
        <v>8.5689151287078804</v>
      </c>
      <c r="H238" s="12">
        <v>2014.31392216682</v>
      </c>
      <c r="I238" s="12">
        <v>806.74999695620102</v>
      </c>
      <c r="J238" s="41" t="s">
        <v>333</v>
      </c>
      <c r="K238" t="s">
        <v>469</v>
      </c>
      <c r="M238" s="12">
        <v>824.05209803581204</v>
      </c>
      <c r="N238" s="12">
        <v>5.1967495990000003</v>
      </c>
      <c r="O238" s="12">
        <v>818.85534843681205</v>
      </c>
      <c r="P238" s="12">
        <v>317.79562684500002</v>
      </c>
      <c r="Q238" s="12">
        <v>71.758053478999997</v>
      </c>
      <c r="R238" s="12">
        <v>432.95962805900001</v>
      </c>
      <c r="S238" s="12">
        <v>806.74999695620102</v>
      </c>
      <c r="U238" t="s">
        <v>469</v>
      </c>
    </row>
    <row r="239" spans="1:21" x14ac:dyDescent="0.2">
      <c r="A239" s="12" t="s">
        <v>223</v>
      </c>
      <c r="B239" s="12"/>
      <c r="C239" s="12">
        <v>9</v>
      </c>
      <c r="D239" s="12">
        <v>5</v>
      </c>
      <c r="E239" s="12">
        <v>9</v>
      </c>
      <c r="F239" s="12">
        <v>1046.60927104949</v>
      </c>
      <c r="G239" s="12">
        <v>8.5126838684081996</v>
      </c>
      <c r="H239" s="12">
        <v>1035.0383560657499</v>
      </c>
      <c r="I239" s="12">
        <v>748.647066775697</v>
      </c>
      <c r="J239" s="41" t="s">
        <v>333</v>
      </c>
      <c r="K239" t="s">
        <v>469</v>
      </c>
      <c r="M239" s="12">
        <v>426.14293384552002</v>
      </c>
      <c r="N239" s="12">
        <v>5.5545242259999998</v>
      </c>
      <c r="O239" s="12">
        <v>420.58840961952001</v>
      </c>
      <c r="P239" s="12">
        <v>335.58638508199999</v>
      </c>
      <c r="Q239" s="12">
        <v>10.476481700000001</v>
      </c>
      <c r="R239" s="12">
        <v>78.451319294000001</v>
      </c>
      <c r="S239" s="12">
        <v>748.647066775697</v>
      </c>
      <c r="U239" t="s">
        <v>469</v>
      </c>
    </row>
    <row r="240" spans="1:21" x14ac:dyDescent="0.2">
      <c r="A240" s="12" t="s">
        <v>228</v>
      </c>
      <c r="B240" s="12"/>
      <c r="C240" s="12">
        <v>9</v>
      </c>
      <c r="D240" s="12">
        <v>5</v>
      </c>
      <c r="E240" s="12">
        <v>9</v>
      </c>
      <c r="F240" s="12">
        <v>992.68692517280499</v>
      </c>
      <c r="G240" s="12">
        <v>8.5701940059661794</v>
      </c>
      <c r="H240" s="12">
        <v>981.03921484947205</v>
      </c>
      <c r="I240" s="12">
        <v>788.15119748952998</v>
      </c>
      <c r="J240" s="41" t="s">
        <v>333</v>
      </c>
      <c r="K240" t="s">
        <v>469</v>
      </c>
      <c r="M240" s="12">
        <v>2094.32571005821</v>
      </c>
      <c r="N240" s="12">
        <v>5.3123460739999997</v>
      </c>
      <c r="O240" s="12">
        <v>2089.0133639842102</v>
      </c>
      <c r="P240" s="12">
        <v>299.67696208900003</v>
      </c>
      <c r="Q240" s="12">
        <v>139.58665314199999</v>
      </c>
      <c r="R240" s="12">
        <v>1653.4968389000001</v>
      </c>
      <c r="S240" s="12">
        <v>788.15119748953202</v>
      </c>
      <c r="U240" t="s">
        <v>469</v>
      </c>
    </row>
    <row r="241" spans="1:21" x14ac:dyDescent="0.2">
      <c r="A241" s="12" t="s">
        <v>232</v>
      </c>
      <c r="B241" s="12"/>
      <c r="C241" s="12">
        <v>9</v>
      </c>
      <c r="D241" s="12">
        <v>5</v>
      </c>
      <c r="E241" s="12">
        <v>9</v>
      </c>
      <c r="F241" s="12">
        <v>10866.4410090446</v>
      </c>
      <c r="G241" s="12">
        <v>8.5524699687957693</v>
      </c>
      <c r="H241" s="12">
        <v>10854.818059206</v>
      </c>
      <c r="I241" s="12">
        <v>830.03670880444804</v>
      </c>
      <c r="J241" s="41">
        <v>6.94528945837371E-3</v>
      </c>
      <c r="K241" t="s">
        <v>470</v>
      </c>
      <c r="M241" s="12">
        <v>513.78170585632301</v>
      </c>
      <c r="N241" s="12">
        <v>5.1915546089999998</v>
      </c>
      <c r="O241" s="12">
        <v>508.59015124732298</v>
      </c>
      <c r="P241" s="12">
        <v>314.74411239</v>
      </c>
      <c r="Q241" s="12">
        <v>82.660433530000006</v>
      </c>
      <c r="R241" s="12">
        <v>114.83912202899999</v>
      </c>
      <c r="S241" s="12">
        <v>830.03670880444804</v>
      </c>
      <c r="U241" t="s">
        <v>469</v>
      </c>
    </row>
    <row r="242" spans="1:21" x14ac:dyDescent="0.2">
      <c r="A242" s="12" t="s">
        <v>240</v>
      </c>
      <c r="B242" s="12"/>
      <c r="C242" s="12">
        <v>9</v>
      </c>
      <c r="D242" s="12">
        <v>5</v>
      </c>
      <c r="E242" s="12">
        <v>10</v>
      </c>
      <c r="F242" s="12">
        <v>10868.008703947</v>
      </c>
      <c r="G242" s="12">
        <v>8.5165450572967494</v>
      </c>
      <c r="H242" s="12">
        <v>10856.414397954901</v>
      </c>
      <c r="I242" s="12">
        <v>880.14561889503</v>
      </c>
      <c r="J242" s="41">
        <v>3.1139540889173901E-2</v>
      </c>
      <c r="K242" t="s">
        <v>470</v>
      </c>
      <c r="M242" s="12">
        <v>459.93667316436699</v>
      </c>
      <c r="N242" s="12">
        <v>5.2400139990000003</v>
      </c>
      <c r="O242" s="12">
        <v>454.69665916536701</v>
      </c>
      <c r="P242" s="12">
        <v>332.98968548599998</v>
      </c>
      <c r="Q242" s="12">
        <v>11.103942957999999</v>
      </c>
      <c r="R242" s="12">
        <v>114.323525729</v>
      </c>
      <c r="S242" s="12">
        <v>877.96742772697405</v>
      </c>
      <c r="U242" t="s">
        <v>469</v>
      </c>
    </row>
    <row r="243" spans="1:21" x14ac:dyDescent="0.2">
      <c r="A243" s="12" t="s">
        <v>244</v>
      </c>
      <c r="B243" s="12"/>
      <c r="C243" s="12">
        <v>9</v>
      </c>
      <c r="D243" s="12">
        <v>5</v>
      </c>
      <c r="E243" s="12">
        <v>9</v>
      </c>
      <c r="F243" s="12">
        <v>10862.7307369709</v>
      </c>
      <c r="G243" s="12">
        <v>8.5392558574676496</v>
      </c>
      <c r="H243" s="12">
        <v>10851.120356798099</v>
      </c>
      <c r="I243" s="12">
        <v>827.49230972810301</v>
      </c>
      <c r="J243" s="41">
        <v>1.9204067019401999E-2</v>
      </c>
      <c r="K243" t="s">
        <v>470</v>
      </c>
      <c r="M243" s="12">
        <v>903.27682995796204</v>
      </c>
      <c r="N243" s="12">
        <v>5.1977369290000004</v>
      </c>
      <c r="O243" s="12">
        <v>898.07909302896201</v>
      </c>
      <c r="P243" s="12">
        <v>332.84636527499998</v>
      </c>
      <c r="Q243" s="12">
        <v>50.724660483999997</v>
      </c>
      <c r="R243" s="12">
        <v>518.10645080999996</v>
      </c>
      <c r="S243" s="12">
        <v>827.49230972810301</v>
      </c>
      <c r="U243" t="s">
        <v>469</v>
      </c>
    </row>
    <row r="244" spans="1:21" x14ac:dyDescent="0.2">
      <c r="A244" s="12" t="s">
        <v>249</v>
      </c>
      <c r="B244" s="12"/>
      <c r="C244" s="12">
        <v>9</v>
      </c>
      <c r="D244" s="12">
        <v>5</v>
      </c>
      <c r="E244" s="12">
        <v>9</v>
      </c>
      <c r="F244" s="12">
        <v>10872.5592951774</v>
      </c>
      <c r="G244" s="12">
        <v>8.5511472225189191</v>
      </c>
      <c r="H244" s="12">
        <v>10860.9275279045</v>
      </c>
      <c r="I244" s="12">
        <v>775.23151583494302</v>
      </c>
      <c r="J244" s="41">
        <v>4.2232158903787098E-3</v>
      </c>
      <c r="K244" t="s">
        <v>470</v>
      </c>
      <c r="M244" s="12">
        <v>2913.2679190635599</v>
      </c>
      <c r="N244" s="12">
        <v>5.2833959299999904</v>
      </c>
      <c r="O244" s="12">
        <v>2907.9845231335598</v>
      </c>
      <c r="P244" s="12">
        <v>327.12851007400002</v>
      </c>
      <c r="Q244" s="12">
        <v>73.184530257999995</v>
      </c>
      <c r="R244" s="12">
        <v>2511.3587163040002</v>
      </c>
      <c r="S244" s="12">
        <v>774.535653715987</v>
      </c>
      <c r="U244" t="s">
        <v>469</v>
      </c>
    </row>
    <row r="245" spans="1:21" x14ac:dyDescent="0.2">
      <c r="A245" s="12" t="s">
        <v>255</v>
      </c>
      <c r="B245" s="12"/>
      <c r="C245" s="12">
        <v>9</v>
      </c>
      <c r="D245" s="12">
        <v>5</v>
      </c>
      <c r="E245" s="12">
        <v>9</v>
      </c>
      <c r="F245" s="12">
        <v>10862.7689311504</v>
      </c>
      <c r="G245" s="12">
        <v>8.5322480201721191</v>
      </c>
      <c r="H245" s="12">
        <v>10851.168274879399</v>
      </c>
      <c r="I245" s="12">
        <v>838.64232118684595</v>
      </c>
      <c r="J245" s="41">
        <v>1.0653041355712701E-2</v>
      </c>
      <c r="K245" t="s">
        <v>470</v>
      </c>
      <c r="M245" s="12">
        <v>1436.04077792167</v>
      </c>
      <c r="N245" s="12">
        <v>5.3155275209999999</v>
      </c>
      <c r="O245" s="12">
        <v>1430.7252504006699</v>
      </c>
      <c r="P245" s="12">
        <v>295.24438702499998</v>
      </c>
      <c r="Q245" s="12">
        <v>50.595632342999998</v>
      </c>
      <c r="R245" s="12">
        <v>1088.6581327910001</v>
      </c>
      <c r="S245" s="12">
        <v>838.70969154240095</v>
      </c>
      <c r="U245" t="s">
        <v>469</v>
      </c>
    </row>
    <row r="246" spans="1:21" x14ac:dyDescent="0.2">
      <c r="A246" s="12" t="s">
        <v>261</v>
      </c>
      <c r="B246" s="12"/>
      <c r="C246" s="12">
        <v>9</v>
      </c>
      <c r="D246" s="12">
        <v>5</v>
      </c>
      <c r="E246" s="12">
        <v>9</v>
      </c>
      <c r="F246" s="12">
        <v>10863.0688109397</v>
      </c>
      <c r="G246" s="12">
        <v>8.5652039051055908</v>
      </c>
      <c r="H246" s="12">
        <v>10851.412600040399</v>
      </c>
      <c r="I246" s="12">
        <v>776.77534241926605</v>
      </c>
      <c r="J246" s="41">
        <v>7.1626477255360196E-3</v>
      </c>
      <c r="K246" t="s">
        <v>470</v>
      </c>
      <c r="M246" s="35">
        <v>15572.2363979816</v>
      </c>
      <c r="N246" s="12">
        <v>5.5598672389999999</v>
      </c>
      <c r="O246" s="12">
        <v>15566.676530742599</v>
      </c>
      <c r="P246" s="12">
        <v>314.60935596100001</v>
      </c>
      <c r="Q246" s="12">
        <v>63.072684088999999</v>
      </c>
      <c r="R246" s="12">
        <v>15193.002405846</v>
      </c>
      <c r="S246" s="12">
        <v>776.71058121522697</v>
      </c>
      <c r="U246" t="s">
        <v>469</v>
      </c>
    </row>
    <row r="247" spans="1:21" x14ac:dyDescent="0.2">
      <c r="A247" s="12" t="s">
        <v>264</v>
      </c>
      <c r="B247" s="12"/>
      <c r="C247" s="12">
        <v>9</v>
      </c>
      <c r="D247" s="12">
        <v>5</v>
      </c>
      <c r="E247" s="12">
        <v>9</v>
      </c>
      <c r="F247" s="12">
        <v>10854.4953029155</v>
      </c>
      <c r="G247" s="12">
        <v>8.5652561187744105</v>
      </c>
      <c r="H247" s="12">
        <v>10842.8569459915</v>
      </c>
      <c r="I247" s="12">
        <v>785.96996324184897</v>
      </c>
      <c r="J247" s="41">
        <v>1.40214145039538E-2</v>
      </c>
      <c r="K247" t="s">
        <v>470</v>
      </c>
      <c r="M247" s="12">
        <v>1938.01813912391</v>
      </c>
      <c r="N247" s="12">
        <v>5.2904501469999996</v>
      </c>
      <c r="O247" s="12">
        <v>1932.72768897691</v>
      </c>
      <c r="P247" s="12">
        <v>334.17257376700002</v>
      </c>
      <c r="Q247" s="12">
        <v>32.800545464000002</v>
      </c>
      <c r="R247" s="12">
        <v>1569.480809334</v>
      </c>
      <c r="S247" s="12">
        <v>785.96996324184897</v>
      </c>
      <c r="U247" t="s">
        <v>469</v>
      </c>
    </row>
    <row r="248" spans="1:21" x14ac:dyDescent="0.2">
      <c r="A248" s="12" t="s">
        <v>267</v>
      </c>
      <c r="B248" s="12"/>
      <c r="C248" s="12">
        <v>9</v>
      </c>
      <c r="D248" s="12">
        <v>5</v>
      </c>
      <c r="E248" s="12">
        <v>10</v>
      </c>
      <c r="F248" s="12">
        <v>10853.7131381034</v>
      </c>
      <c r="G248" s="12">
        <v>8.5677080154418892</v>
      </c>
      <c r="H248" s="12">
        <v>10842.068351984</v>
      </c>
      <c r="I248" s="12">
        <v>786.50646648842906</v>
      </c>
      <c r="J248" s="41">
        <v>1.78323706489412E-3</v>
      </c>
      <c r="K248" t="s">
        <v>470</v>
      </c>
      <c r="M248" s="12">
        <v>775.96436381340004</v>
      </c>
      <c r="N248" s="12">
        <v>5.2496164329999999</v>
      </c>
      <c r="O248" s="12">
        <v>770.71474738040001</v>
      </c>
      <c r="P248" s="12">
        <v>316.11650201100002</v>
      </c>
      <c r="Q248" s="12">
        <v>199.71834716499899</v>
      </c>
      <c r="R248" s="12">
        <v>258.59943272499999</v>
      </c>
      <c r="S248" s="12">
        <v>786.50646648842906</v>
      </c>
      <c r="U248" t="s">
        <v>469</v>
      </c>
    </row>
    <row r="249" spans="1:21" x14ac:dyDescent="0.2">
      <c r="A249" s="12" t="s">
        <v>271</v>
      </c>
      <c r="B249" s="12"/>
      <c r="C249" s="12">
        <v>9</v>
      </c>
      <c r="D249" s="12">
        <v>5</v>
      </c>
      <c r="E249" s="12">
        <v>9</v>
      </c>
      <c r="F249" s="12">
        <v>1312.4094128608699</v>
      </c>
      <c r="G249" s="12">
        <v>8.5253868103027308</v>
      </c>
      <c r="H249" s="12">
        <v>1300.8100090026801</v>
      </c>
      <c r="I249" s="12">
        <v>714.38464263870799</v>
      </c>
      <c r="J249" s="41" t="s">
        <v>333</v>
      </c>
      <c r="K249" t="s">
        <v>469</v>
      </c>
      <c r="M249" s="12">
        <v>592.35924100875798</v>
      </c>
      <c r="N249" s="12">
        <v>5.1307476420000002</v>
      </c>
      <c r="O249" s="12">
        <v>587.22849336675802</v>
      </c>
      <c r="P249" s="12">
        <v>323.47450509100003</v>
      </c>
      <c r="Q249" s="12">
        <v>209.76328812099999</v>
      </c>
      <c r="R249" s="12">
        <v>57.5899207</v>
      </c>
      <c r="S249" s="12">
        <v>714.38464263870696</v>
      </c>
      <c r="U249" t="s">
        <v>469</v>
      </c>
    </row>
    <row r="250" spans="1:21" x14ac:dyDescent="0.2">
      <c r="A250" s="12" t="s">
        <v>277</v>
      </c>
      <c r="B250" s="12"/>
      <c r="C250" s="12">
        <v>9</v>
      </c>
      <c r="D250" s="12">
        <v>5</v>
      </c>
      <c r="E250" s="12">
        <v>10</v>
      </c>
      <c r="F250" s="12">
        <v>10856.684801101601</v>
      </c>
      <c r="G250" s="12">
        <v>8.5382659435272199</v>
      </c>
      <c r="H250" s="12">
        <v>10845.0763149261</v>
      </c>
      <c r="I250" s="12">
        <v>864.42323117647902</v>
      </c>
      <c r="J250" s="41">
        <v>1.1384262796540499E-2</v>
      </c>
      <c r="K250" t="s">
        <v>470</v>
      </c>
      <c r="M250" s="12">
        <v>2542.0984878539998</v>
      </c>
      <c r="N250" s="12">
        <v>8.1039097079999998</v>
      </c>
      <c r="O250" s="12">
        <v>2533.9945781460001</v>
      </c>
      <c r="P250" s="12">
        <v>299.941041165</v>
      </c>
      <c r="Q250" s="12">
        <v>35.562226117999998</v>
      </c>
      <c r="R250" s="12">
        <v>2205.0665064119999</v>
      </c>
      <c r="S250" s="12">
        <v>864.42323117647902</v>
      </c>
      <c r="U250" t="s">
        <v>469</v>
      </c>
    </row>
    <row r="251" spans="1:21" x14ac:dyDescent="0.2">
      <c r="A251" s="12" t="s">
        <v>280</v>
      </c>
      <c r="B251" s="12"/>
      <c r="C251" s="12">
        <v>9</v>
      </c>
      <c r="D251" s="12">
        <v>5</v>
      </c>
      <c r="E251" s="12">
        <v>9</v>
      </c>
      <c r="F251" s="12">
        <v>1528.39203381538</v>
      </c>
      <c r="G251" s="12">
        <v>8.5366008281707693</v>
      </c>
      <c r="H251" s="12">
        <v>1516.7767820358199</v>
      </c>
      <c r="I251" s="12">
        <v>798.30697006622404</v>
      </c>
      <c r="J251" s="41" t="s">
        <v>333</v>
      </c>
      <c r="K251" t="s">
        <v>469</v>
      </c>
      <c r="M251" s="12">
        <v>885.61611604690495</v>
      </c>
      <c r="N251" s="12">
        <v>5.5744403650000001</v>
      </c>
      <c r="O251" s="12">
        <v>880.04167568190496</v>
      </c>
      <c r="P251" s="12">
        <v>314.48815940600002</v>
      </c>
      <c r="Q251" s="12">
        <v>35.908215495</v>
      </c>
      <c r="R251" s="12">
        <v>533.65973664900002</v>
      </c>
      <c r="S251" s="12">
        <v>798.30697006622404</v>
      </c>
      <c r="U251" t="s">
        <v>469</v>
      </c>
    </row>
    <row r="252" spans="1:21" x14ac:dyDescent="0.2">
      <c r="A252" s="12" t="s">
        <v>288</v>
      </c>
      <c r="B252" s="12"/>
      <c r="C252" s="12">
        <v>9</v>
      </c>
      <c r="D252" s="12">
        <v>5</v>
      </c>
      <c r="E252" s="12">
        <v>9</v>
      </c>
      <c r="F252" s="12">
        <v>1312.30143618583</v>
      </c>
      <c r="G252" s="12">
        <v>8.5390870571136404</v>
      </c>
      <c r="H252" s="12">
        <v>1300.6908929347901</v>
      </c>
      <c r="I252" s="12">
        <v>807.51376326792001</v>
      </c>
      <c r="J252" s="41" t="s">
        <v>333</v>
      </c>
      <c r="K252" t="s">
        <v>469</v>
      </c>
      <c r="M252" s="12">
        <v>454.72963309288002</v>
      </c>
      <c r="N252" s="12">
        <v>5.8852463320000004</v>
      </c>
      <c r="O252" s="12">
        <v>448.84438676088001</v>
      </c>
      <c r="P252" s="12">
        <v>347.039173011</v>
      </c>
      <c r="Q252" s="12">
        <v>11.894115374</v>
      </c>
      <c r="R252" s="12">
        <v>94.135003006999995</v>
      </c>
      <c r="S252" s="12">
        <v>807.51376326792001</v>
      </c>
      <c r="U252" t="s">
        <v>469</v>
      </c>
    </row>
    <row r="253" spans="1:21" x14ac:dyDescent="0.2">
      <c r="A253" s="12" t="s">
        <v>292</v>
      </c>
      <c r="B253" s="12"/>
      <c r="C253" s="12">
        <v>9</v>
      </c>
      <c r="D253" s="12">
        <v>5</v>
      </c>
      <c r="E253" s="12">
        <v>10</v>
      </c>
      <c r="F253" s="12">
        <v>2220.22599291801</v>
      </c>
      <c r="G253" s="12">
        <v>8.5614838600158691</v>
      </c>
      <c r="H253" s="12">
        <v>2208.5725901126798</v>
      </c>
      <c r="I253" s="12">
        <v>832.39589166274197</v>
      </c>
      <c r="J253" s="41" t="s">
        <v>333</v>
      </c>
      <c r="K253" t="s">
        <v>469</v>
      </c>
      <c r="M253" s="12">
        <v>1827.07416009902</v>
      </c>
      <c r="N253" s="12">
        <v>5.5493920279999998</v>
      </c>
      <c r="O253" s="12">
        <v>1821.5247680710199</v>
      </c>
      <c r="P253" s="12">
        <v>316.29640453500002</v>
      </c>
      <c r="Q253" s="12">
        <v>44.071557945000002</v>
      </c>
      <c r="R253" s="12">
        <v>1465.167044842</v>
      </c>
      <c r="S253" s="12">
        <v>832.395891662743</v>
      </c>
      <c r="U253" t="s">
        <v>469</v>
      </c>
    </row>
    <row r="254" spans="1:21" x14ac:dyDescent="0.2">
      <c r="A254" s="12" t="s">
        <v>296</v>
      </c>
      <c r="B254" s="12"/>
      <c r="C254" s="12">
        <v>9</v>
      </c>
      <c r="D254" s="12">
        <v>5</v>
      </c>
      <c r="E254" s="12">
        <v>9</v>
      </c>
      <c r="F254" s="12">
        <v>316.30875205993601</v>
      </c>
      <c r="G254" s="12">
        <v>8.5502460002899099</v>
      </c>
      <c r="H254" s="12">
        <v>304.66776585578901</v>
      </c>
      <c r="I254" s="12">
        <v>753.50083965029103</v>
      </c>
      <c r="J254" s="41" t="s">
        <v>333</v>
      </c>
      <c r="K254" t="s">
        <v>469</v>
      </c>
      <c r="M254" s="12">
        <v>523.60389590263298</v>
      </c>
      <c r="N254" s="12">
        <v>5.7268500849999997</v>
      </c>
      <c r="O254" s="12">
        <v>517.87704581763296</v>
      </c>
      <c r="P254" s="12">
        <v>328.85222535999998</v>
      </c>
      <c r="Q254" s="12">
        <v>10.302182715000001</v>
      </c>
      <c r="R254" s="12">
        <v>182.90885740600001</v>
      </c>
      <c r="S254" s="12">
        <v>753.50083965029</v>
      </c>
      <c r="U254" t="s">
        <v>469</v>
      </c>
    </row>
    <row r="255" spans="1:21" x14ac:dyDescent="0.2">
      <c r="A255" s="12" t="s">
        <v>300</v>
      </c>
      <c r="B255" s="12"/>
      <c r="C255" s="12">
        <v>9</v>
      </c>
      <c r="D255" s="12">
        <v>5</v>
      </c>
      <c r="E255" s="12">
        <v>9</v>
      </c>
      <c r="F255" s="12">
        <v>2888.57512712478</v>
      </c>
      <c r="G255" s="12">
        <v>8.5511000156402499</v>
      </c>
      <c r="H255" s="12">
        <v>2876.93931698799</v>
      </c>
      <c r="I255" s="12">
        <v>833.30816974229901</v>
      </c>
      <c r="J255" s="41" t="s">
        <v>333</v>
      </c>
      <c r="K255" t="s">
        <v>469</v>
      </c>
      <c r="M255" s="12">
        <v>1497.3490819931001</v>
      </c>
      <c r="N255" s="12">
        <v>5.8268535860000004</v>
      </c>
      <c r="O255" s="12">
        <v>1491.5222284071001</v>
      </c>
      <c r="P255" s="12">
        <v>306.95795116099998</v>
      </c>
      <c r="Q255" s="12">
        <v>27.640418292</v>
      </c>
      <c r="R255" s="12">
        <v>1161.169022</v>
      </c>
      <c r="S255" s="12">
        <v>833.30816974229901</v>
      </c>
      <c r="U255" t="s">
        <v>469</v>
      </c>
    </row>
    <row r="256" spans="1:21" s="33" customFormat="1" x14ac:dyDescent="0.2">
      <c r="A256" s="35"/>
      <c r="B256" s="35"/>
      <c r="C256" s="35">
        <v>9</v>
      </c>
      <c r="D256" s="35">
        <v>5</v>
      </c>
      <c r="E256" s="35"/>
      <c r="F256" s="35">
        <f>AVERAGE(F236:F255)</f>
        <v>5806.8009166240408</v>
      </c>
      <c r="G256" s="35">
        <f t="shared" ref="G256:S256" si="18">AVERAGE(G236:G255)</f>
        <v>8.5396303296089151</v>
      </c>
      <c r="H256" s="35">
        <f t="shared" si="18"/>
        <v>5795.1858203291722</v>
      </c>
      <c r="I256" s="35">
        <f t="shared" si="18"/>
        <v>804.42143828031703</v>
      </c>
      <c r="J256" s="35"/>
      <c r="L256" s="35"/>
      <c r="M256" s="35">
        <f t="shared" si="18"/>
        <v>1860.3502446412997</v>
      </c>
      <c r="N256" s="35">
        <f t="shared" si="18"/>
        <v>5.5383347059999997</v>
      </c>
      <c r="O256" s="35">
        <f t="shared" si="18"/>
        <v>1854.8119099352994</v>
      </c>
      <c r="P256" s="35">
        <f t="shared" si="18"/>
        <v>320.46064537749993</v>
      </c>
      <c r="Q256" s="35">
        <f t="shared" si="18"/>
        <v>58.897981547449945</v>
      </c>
      <c r="R256" s="35">
        <f t="shared" si="18"/>
        <v>1479.4305307124</v>
      </c>
      <c r="S256" s="35">
        <f t="shared" si="18"/>
        <v>804.32341175305362</v>
      </c>
    </row>
    <row r="257" spans="1:21" s="33" customFormat="1" x14ac:dyDescent="0.2">
      <c r="F257" s="33">
        <f>AVERAGE(F194:F213,F215:F234,F236:F255)</f>
        <v>6044.461038617269</v>
      </c>
      <c r="J257" s="33" t="s">
        <v>458</v>
      </c>
      <c r="M257" s="33">
        <f>AVERAGE(M194:M213,M215:M234,M236:M255)</f>
        <v>2099.7252353588692</v>
      </c>
      <c r="N257" s="33">
        <f t="shared" ref="N257:S257" si="19">AVERAGE(N194:N253)</f>
        <v>5.4999282781166645</v>
      </c>
      <c r="O257" s="33">
        <f t="shared" si="19"/>
        <v>2134.5231818064121</v>
      </c>
      <c r="P257" s="33">
        <f t="shared" si="19"/>
        <v>129.28423057340333</v>
      </c>
      <c r="Q257" s="33">
        <f t="shared" si="19"/>
        <v>56.946062363849116</v>
      </c>
      <c r="R257" s="33">
        <f t="shared" si="19"/>
        <v>1952.3053595493498</v>
      </c>
      <c r="S257" s="33">
        <f t="shared" si="19"/>
        <v>806.94613767068063</v>
      </c>
    </row>
    <row r="258" spans="1:21" x14ac:dyDescent="0.2">
      <c r="A258" s="12" t="s">
        <v>393</v>
      </c>
      <c r="B258" s="12"/>
      <c r="C258" s="11">
        <v>4</v>
      </c>
      <c r="D258" s="11">
        <v>2</v>
      </c>
      <c r="E258" s="11">
        <v>18</v>
      </c>
      <c r="F258" s="12">
        <v>18123.1608798503</v>
      </c>
      <c r="G258" s="12">
        <v>9.9161269664764404</v>
      </c>
      <c r="H258" s="12">
        <v>18109.1928751468</v>
      </c>
      <c r="I258" s="12">
        <v>1175.23175249769</v>
      </c>
      <c r="J258" s="41">
        <v>4.2028922163934697E-3</v>
      </c>
      <c r="K258" s="41" t="s">
        <v>470</v>
      </c>
      <c r="M258" s="11">
        <v>2272.21392011642</v>
      </c>
      <c r="N258" s="11">
        <v>5.4116952139999999</v>
      </c>
      <c r="O258" s="11">
        <v>2266.8022249024202</v>
      </c>
      <c r="P258" s="11">
        <v>20.410505651000001</v>
      </c>
      <c r="Q258" s="11">
        <v>68.707959255999995</v>
      </c>
      <c r="R258" s="11">
        <v>2181.6157857359999</v>
      </c>
      <c r="S258" s="11">
        <v>1173.73306814994</v>
      </c>
      <c r="T258" s="11" t="s">
        <v>333</v>
      </c>
      <c r="U258" s="28" t="s">
        <v>464</v>
      </c>
    </row>
    <row r="259" spans="1:21" x14ac:dyDescent="0.2">
      <c r="A259" s="12" t="s">
        <v>396</v>
      </c>
      <c r="B259" s="12"/>
      <c r="C259" s="12">
        <v>4</v>
      </c>
      <c r="D259" s="12">
        <v>2</v>
      </c>
      <c r="E259" s="12">
        <v>18</v>
      </c>
      <c r="F259" s="12">
        <v>18098.765872001601</v>
      </c>
      <c r="G259" s="12">
        <v>8.8525030612945503</v>
      </c>
      <c r="H259" s="12">
        <v>18086.206478118798</v>
      </c>
      <c r="I259" s="12">
        <v>1289.6913368333801</v>
      </c>
      <c r="J259" s="41">
        <v>1.28083370504368E-2</v>
      </c>
      <c r="K259" s="41" t="s">
        <v>470</v>
      </c>
      <c r="M259" s="12">
        <v>319.27811813354401</v>
      </c>
      <c r="N259" s="12">
        <v>5.2206571989999997</v>
      </c>
      <c r="O259" s="12">
        <v>314.057460934544</v>
      </c>
      <c r="P259" s="12">
        <v>19.609266813000001</v>
      </c>
      <c r="Q259" s="12">
        <v>152.85063394099899</v>
      </c>
      <c r="R259" s="12">
        <v>145.33601206</v>
      </c>
      <c r="S259" s="12">
        <v>1289.6913368333801</v>
      </c>
      <c r="T259" s="12" t="s">
        <v>333</v>
      </c>
      <c r="U259" s="28" t="s">
        <v>464</v>
      </c>
    </row>
    <row r="260" spans="1:21" x14ac:dyDescent="0.2">
      <c r="A260" s="12" t="s">
        <v>399</v>
      </c>
      <c r="B260" s="12"/>
      <c r="C260" s="12">
        <v>4</v>
      </c>
      <c r="D260" s="12">
        <v>2</v>
      </c>
      <c r="E260" s="12">
        <v>18</v>
      </c>
      <c r="F260" s="12">
        <v>18122.967542171398</v>
      </c>
      <c r="G260" s="12">
        <v>8.6634271144866908</v>
      </c>
      <c r="H260" s="12">
        <v>18110.7144780159</v>
      </c>
      <c r="I260" s="12">
        <v>1153.6208517658099</v>
      </c>
      <c r="J260" s="41">
        <v>8.1796472781295194E-3</v>
      </c>
      <c r="K260" s="41" t="s">
        <v>470</v>
      </c>
      <c r="M260" s="12">
        <v>5545.43948698043</v>
      </c>
      <c r="N260" s="12">
        <v>5.9431774269999904</v>
      </c>
      <c r="O260" s="12">
        <v>5539.4963095534304</v>
      </c>
      <c r="P260" s="12">
        <v>20.979055505000002</v>
      </c>
      <c r="Q260" s="12">
        <v>33.959622193000001</v>
      </c>
      <c r="R260" s="12">
        <v>5489.0235307450002</v>
      </c>
      <c r="S260" s="12">
        <v>1153.6208517658099</v>
      </c>
      <c r="T260" s="12" t="s">
        <v>333</v>
      </c>
      <c r="U260" s="28" t="s">
        <v>464</v>
      </c>
    </row>
    <row r="261" spans="1:21" x14ac:dyDescent="0.2">
      <c r="A261" s="12" t="s">
        <v>402</v>
      </c>
      <c r="B261" s="12"/>
      <c r="C261" s="12">
        <v>4</v>
      </c>
      <c r="D261" s="12">
        <v>2</v>
      </c>
      <c r="E261" s="12">
        <v>18</v>
      </c>
      <c r="F261" s="12">
        <v>18097.507013082501</v>
      </c>
      <c r="G261" s="12">
        <v>8.8936440944671595</v>
      </c>
      <c r="H261" s="12">
        <v>18084.840202093099</v>
      </c>
      <c r="I261" s="12">
        <v>1272.13964667042</v>
      </c>
      <c r="J261" s="41">
        <v>9.1006576228137692E-3</v>
      </c>
      <c r="K261" s="41" t="s">
        <v>470</v>
      </c>
      <c r="M261" s="12">
        <v>6621.6938109397797</v>
      </c>
      <c r="N261" s="12">
        <v>5.7123113170000002</v>
      </c>
      <c r="O261" s="12">
        <v>6615.9814996227797</v>
      </c>
      <c r="P261" s="12">
        <v>20.733043154000001</v>
      </c>
      <c r="Q261" s="12">
        <v>21.42781669</v>
      </c>
      <c r="R261" s="12">
        <v>6578.0505017850001</v>
      </c>
      <c r="S261" s="12">
        <v>1271.65670315496</v>
      </c>
      <c r="T261" s="12" t="s">
        <v>333</v>
      </c>
      <c r="U261" s="28" t="s">
        <v>464</v>
      </c>
    </row>
    <row r="262" spans="1:21" x14ac:dyDescent="0.2">
      <c r="A262" s="12" t="s">
        <v>405</v>
      </c>
      <c r="B262" s="12"/>
      <c r="C262" s="12">
        <v>4</v>
      </c>
      <c r="D262" s="12">
        <v>2</v>
      </c>
      <c r="E262" s="12">
        <v>17</v>
      </c>
      <c r="F262" s="12">
        <v>18111.718146085699</v>
      </c>
      <c r="G262" s="12">
        <v>8.7938079833984304</v>
      </c>
      <c r="H262" s="12">
        <v>18099.216140985402</v>
      </c>
      <c r="I262" s="12">
        <v>1211.1434731542699</v>
      </c>
      <c r="J262" s="41">
        <v>7.8190050130674104E-3</v>
      </c>
      <c r="K262" s="41" t="s">
        <v>470</v>
      </c>
      <c r="M262" s="12">
        <v>13324.3847720623</v>
      </c>
      <c r="N262" s="12">
        <v>5.710979773</v>
      </c>
      <c r="O262" s="12">
        <v>13318.673792289301</v>
      </c>
      <c r="P262" s="12">
        <v>21.007329822999999</v>
      </c>
      <c r="Q262" s="12">
        <v>115.28787193700001</v>
      </c>
      <c r="R262" s="12">
        <v>13186.597798803001</v>
      </c>
      <c r="S262" s="12">
        <v>1210.71683684141</v>
      </c>
      <c r="T262" s="12" t="s">
        <v>333</v>
      </c>
      <c r="U262" s="28" t="s">
        <v>464</v>
      </c>
    </row>
    <row r="263" spans="1:21" x14ac:dyDescent="0.2">
      <c r="A263" s="12" t="s">
        <v>408</v>
      </c>
      <c r="B263" s="12"/>
      <c r="C263" s="12">
        <v>4</v>
      </c>
      <c r="D263" s="12">
        <v>2</v>
      </c>
      <c r="E263" s="12">
        <v>16</v>
      </c>
      <c r="F263" s="12">
        <v>18097.5324718952</v>
      </c>
      <c r="G263" s="12">
        <v>8.5928869247436506</v>
      </c>
      <c r="H263" s="12">
        <v>18085.300494909199</v>
      </c>
      <c r="I263" s="12">
        <v>1176.7639118480899</v>
      </c>
      <c r="J263" s="41">
        <v>4.3150971847264602E-2</v>
      </c>
      <c r="K263" s="41" t="s">
        <v>470</v>
      </c>
      <c r="M263" s="12">
        <v>412</v>
      </c>
      <c r="N263" s="12">
        <v>5.48</v>
      </c>
      <c r="O263" s="12">
        <v>406.52</v>
      </c>
      <c r="P263" s="12" t="s">
        <v>333</v>
      </c>
      <c r="Q263" s="12" t="s">
        <v>333</v>
      </c>
      <c r="R263" s="12" t="s">
        <v>333</v>
      </c>
      <c r="S263" s="12">
        <v>1256.9867931328999</v>
      </c>
      <c r="T263" s="12" t="s">
        <v>463</v>
      </c>
      <c r="U263" s="28"/>
    </row>
    <row r="264" spans="1:21" x14ac:dyDescent="0.2">
      <c r="A264" s="12" t="s">
        <v>410</v>
      </c>
      <c r="B264" s="12"/>
      <c r="C264" s="12">
        <v>4</v>
      </c>
      <c r="D264" s="12">
        <v>2</v>
      </c>
      <c r="E264" s="12">
        <v>17</v>
      </c>
      <c r="F264" s="12">
        <v>18096.3007519245</v>
      </c>
      <c r="G264" s="12">
        <v>9.4180359840392995</v>
      </c>
      <c r="H264" s="12">
        <v>18082.938686847599</v>
      </c>
      <c r="I264" s="12">
        <v>1031.1262610875599</v>
      </c>
      <c r="J264" s="41">
        <v>4.5836960586661202E-2</v>
      </c>
      <c r="K264" s="41" t="s">
        <v>470</v>
      </c>
      <c r="M264" s="12">
        <v>18693.991842031399</v>
      </c>
      <c r="N264" s="12">
        <v>5.7357975529999896</v>
      </c>
      <c r="O264" s="12">
        <v>18688.256044478399</v>
      </c>
      <c r="P264" s="12">
        <v>20.477942261999999</v>
      </c>
      <c r="Q264" s="12">
        <v>300.13620622100001</v>
      </c>
      <c r="R264" s="12">
        <v>18371.887941269</v>
      </c>
      <c r="S264" s="12">
        <v>1250.50514993816</v>
      </c>
      <c r="T264" s="12" t="s">
        <v>333</v>
      </c>
      <c r="U264" s="28"/>
    </row>
    <row r="265" spans="1:21" x14ac:dyDescent="0.2">
      <c r="A265" s="12" t="s">
        <v>413</v>
      </c>
      <c r="B265" s="12"/>
      <c r="C265" s="12">
        <v>4</v>
      </c>
      <c r="D265" s="12">
        <v>2</v>
      </c>
      <c r="E265" s="12">
        <v>17</v>
      </c>
      <c r="F265" s="12">
        <v>18113.867371082299</v>
      </c>
      <c r="G265" s="12">
        <v>8.5803041458129794</v>
      </c>
      <c r="H265" s="12">
        <v>18101.686738014199</v>
      </c>
      <c r="I265" s="12">
        <v>1112.55122003832</v>
      </c>
      <c r="J265" s="41">
        <v>4.4782577559663403E-2</v>
      </c>
      <c r="K265" s="41" t="s">
        <v>470</v>
      </c>
      <c r="M265" s="12">
        <v>2277.19784116745</v>
      </c>
      <c r="N265" s="12">
        <v>5.7376880290000001</v>
      </c>
      <c r="O265" s="12">
        <v>2271.4601531384501</v>
      </c>
      <c r="P265" s="12">
        <v>20.519912514000001</v>
      </c>
      <c r="Q265" s="12">
        <v>86.845591522999996</v>
      </c>
      <c r="R265" s="12">
        <v>2168.403875211</v>
      </c>
      <c r="S265" s="12">
        <v>1107.4368819992601</v>
      </c>
      <c r="T265" s="12" t="s">
        <v>333</v>
      </c>
      <c r="U265" s="28"/>
    </row>
    <row r="266" spans="1:21" x14ac:dyDescent="0.2">
      <c r="A266" s="12" t="s">
        <v>416</v>
      </c>
      <c r="B266" s="12"/>
      <c r="C266" s="12">
        <v>4</v>
      </c>
      <c r="D266" s="12">
        <v>2</v>
      </c>
      <c r="E266" s="12">
        <v>16</v>
      </c>
      <c r="F266" s="12">
        <v>18092.508140087099</v>
      </c>
      <c r="G266" s="12">
        <v>8.5941340923309308</v>
      </c>
      <c r="H266" s="12">
        <v>18080.314393997101</v>
      </c>
      <c r="I266" s="12">
        <v>1111.8314138298899</v>
      </c>
      <c r="J266" s="41">
        <v>4.07876178909021E-2</v>
      </c>
      <c r="K266" s="41" t="s">
        <v>470</v>
      </c>
      <c r="M266" s="12">
        <v>3284.9760408401398</v>
      </c>
      <c r="N266" s="12">
        <v>5.6558452109999999</v>
      </c>
      <c r="O266" s="12">
        <v>3279.32019562914</v>
      </c>
      <c r="P266" s="12">
        <v>20.478948714000001</v>
      </c>
      <c r="Q266" s="12">
        <v>44.170063106999997</v>
      </c>
      <c r="R266" s="12">
        <v>3218.9030740120002</v>
      </c>
      <c r="S266" s="12">
        <v>1255.5655134528799</v>
      </c>
      <c r="T266" s="12" t="s">
        <v>333</v>
      </c>
      <c r="U266" s="28"/>
    </row>
    <row r="267" spans="1:21" x14ac:dyDescent="0.2">
      <c r="A267" s="12" t="s">
        <v>419</v>
      </c>
      <c r="B267" s="12"/>
      <c r="C267" s="12">
        <v>4</v>
      </c>
      <c r="D267" s="12">
        <v>2</v>
      </c>
      <c r="E267" s="12">
        <v>16</v>
      </c>
      <c r="F267" s="12">
        <v>18114.1434381008</v>
      </c>
      <c r="G267" s="12">
        <v>9.7391660213470406</v>
      </c>
      <c r="H267" s="12">
        <v>18100.308229207902</v>
      </c>
      <c r="I267" s="12">
        <v>1135.4995217565699</v>
      </c>
      <c r="J267" s="41">
        <v>3.7148525024884999E-2</v>
      </c>
      <c r="K267" s="41" t="s">
        <v>470</v>
      </c>
      <c r="M267" s="12">
        <v>20261.66</v>
      </c>
      <c r="N267" s="12">
        <v>5.65</v>
      </c>
      <c r="O267" s="12">
        <v>20256.02</v>
      </c>
      <c r="P267" s="12" t="s">
        <v>333</v>
      </c>
      <c r="Q267" s="12" t="s">
        <v>333</v>
      </c>
      <c r="R267" s="12" t="s">
        <v>333</v>
      </c>
      <c r="S267" s="12">
        <v>1234.5454284774801</v>
      </c>
      <c r="T267" s="12" t="s">
        <v>463</v>
      </c>
      <c r="U267" s="28"/>
    </row>
    <row r="268" spans="1:21" x14ac:dyDescent="0.2">
      <c r="A268" s="12" t="s">
        <v>422</v>
      </c>
      <c r="B268" s="12"/>
      <c r="C268" s="12">
        <v>4</v>
      </c>
      <c r="D268" s="12">
        <v>2</v>
      </c>
      <c r="E268" s="12">
        <v>17</v>
      </c>
      <c r="F268" s="12">
        <v>18090.466583967202</v>
      </c>
      <c r="G268" s="12">
        <v>8.6040520668029696</v>
      </c>
      <c r="H268" s="12">
        <v>18078.259911060301</v>
      </c>
      <c r="I268" s="12">
        <v>1044.8904297915999</v>
      </c>
      <c r="J268" s="41">
        <v>3.9567660486622101E-2</v>
      </c>
      <c r="K268" s="41" t="s">
        <v>470</v>
      </c>
      <c r="M268" s="12">
        <v>8801.6444239616394</v>
      </c>
      <c r="N268" s="12">
        <v>5.6510315420000001</v>
      </c>
      <c r="O268" s="12">
        <v>8795.9933924196393</v>
      </c>
      <c r="P268" s="12">
        <v>20.736345319000002</v>
      </c>
      <c r="Q268" s="12">
        <v>100.85587211799999</v>
      </c>
      <c r="R268" s="12">
        <v>8678.6295873960007</v>
      </c>
      <c r="S268" s="12">
        <v>1143.5583391158</v>
      </c>
      <c r="T268" s="12" t="s">
        <v>333</v>
      </c>
      <c r="U268" s="28"/>
    </row>
    <row r="269" spans="1:21" x14ac:dyDescent="0.2">
      <c r="A269" s="12" t="s">
        <v>425</v>
      </c>
      <c r="B269" s="12"/>
      <c r="C269" s="12">
        <v>4</v>
      </c>
      <c r="D269" s="12">
        <v>2</v>
      </c>
      <c r="E269" s="12">
        <v>17</v>
      </c>
      <c r="F269" s="12">
        <v>18092.4378199577</v>
      </c>
      <c r="G269" s="12">
        <v>8.5774588584899902</v>
      </c>
      <c r="H269" s="12">
        <v>18080.258308887402</v>
      </c>
      <c r="I269" s="12">
        <v>1087.7088675254299</v>
      </c>
      <c r="J269" s="41">
        <v>3.76790237377818E-2</v>
      </c>
      <c r="K269" s="41" t="s">
        <v>470</v>
      </c>
      <c r="M269" s="12">
        <v>1319.58</v>
      </c>
      <c r="N269" s="12">
        <v>7.24</v>
      </c>
      <c r="O269" s="12">
        <v>1312.33</v>
      </c>
      <c r="P269" s="12" t="s">
        <v>333</v>
      </c>
      <c r="Q269" s="12" t="s">
        <v>333</v>
      </c>
      <c r="R269" s="12" t="s">
        <v>333</v>
      </c>
      <c r="S269" s="12">
        <v>1255.15622907949</v>
      </c>
      <c r="T269" s="12" t="s">
        <v>463</v>
      </c>
      <c r="U269" s="28"/>
    </row>
    <row r="270" spans="1:21" x14ac:dyDescent="0.2">
      <c r="A270" s="12" t="s">
        <v>428</v>
      </c>
      <c r="B270" s="12"/>
      <c r="C270" s="12">
        <v>4</v>
      </c>
      <c r="D270" s="12">
        <v>2</v>
      </c>
      <c r="E270" s="12">
        <v>17</v>
      </c>
      <c r="F270" s="12">
        <v>18086.2704470157</v>
      </c>
      <c r="G270" s="12">
        <v>8.6166930198669398</v>
      </c>
      <c r="H270" s="12">
        <v>18073.931324005101</v>
      </c>
      <c r="I270" s="12">
        <v>1115.63990969167</v>
      </c>
      <c r="J270" s="41">
        <v>2.73775122507641E-2</v>
      </c>
      <c r="K270" s="41" t="s">
        <v>470</v>
      </c>
      <c r="M270" s="12">
        <v>298.46533083915699</v>
      </c>
      <c r="N270" s="12">
        <v>5.2619312359999997</v>
      </c>
      <c r="O270" s="12">
        <v>293.20339960315698</v>
      </c>
      <c r="P270" s="12">
        <v>20.649755257999999</v>
      </c>
      <c r="Q270" s="12">
        <v>203.97184387099901</v>
      </c>
      <c r="R270" s="12">
        <v>72.420135861999995</v>
      </c>
      <c r="S270" s="12">
        <v>1055.63064340439</v>
      </c>
      <c r="T270" s="12" t="s">
        <v>333</v>
      </c>
      <c r="U270" s="28"/>
    </row>
    <row r="271" spans="1:21" x14ac:dyDescent="0.2">
      <c r="A271" s="12" t="s">
        <v>431</v>
      </c>
      <c r="B271" s="12"/>
      <c r="C271" s="12">
        <v>4</v>
      </c>
      <c r="D271" s="12">
        <v>2</v>
      </c>
      <c r="E271" s="12">
        <v>17</v>
      </c>
      <c r="F271" s="12">
        <v>18097.1949021816</v>
      </c>
      <c r="G271" s="12">
        <v>8.5549101829528809</v>
      </c>
      <c r="H271" s="12">
        <v>18085.004595994898</v>
      </c>
      <c r="I271" s="12">
        <v>1077.2243285561799</v>
      </c>
      <c r="J271" s="41">
        <v>1.8492115739278399E-2</v>
      </c>
      <c r="K271" s="41" t="s">
        <v>470</v>
      </c>
      <c r="M271" s="12">
        <v>21238.3055279254</v>
      </c>
      <c r="N271" s="12">
        <v>5.6630123990000003</v>
      </c>
      <c r="O271" s="12">
        <v>21232.642515526401</v>
      </c>
      <c r="P271" s="12">
        <v>20.248635001</v>
      </c>
      <c r="Q271" s="12">
        <v>123.711469713</v>
      </c>
      <c r="R271" s="12">
        <v>21092.925012266001</v>
      </c>
      <c r="S271" s="12">
        <v>1247.3457648748199</v>
      </c>
      <c r="T271" s="12" t="s">
        <v>333</v>
      </c>
      <c r="U271" s="28"/>
    </row>
    <row r="272" spans="1:21" x14ac:dyDescent="0.2">
      <c r="A272" s="12" t="s">
        <v>434</v>
      </c>
      <c r="B272" s="12"/>
      <c r="C272" s="12">
        <v>4</v>
      </c>
      <c r="D272" s="12">
        <v>2</v>
      </c>
      <c r="E272" s="12">
        <v>18</v>
      </c>
      <c r="F272" s="12">
        <v>18087.660123109799</v>
      </c>
      <c r="G272" s="12">
        <v>8.60318922996521</v>
      </c>
      <c r="H272" s="12">
        <v>18075.409794092098</v>
      </c>
      <c r="I272" s="12">
        <v>1082.8985745006</v>
      </c>
      <c r="J272" s="41">
        <v>6.0484515066711597E-2</v>
      </c>
      <c r="K272" s="41" t="s">
        <v>470</v>
      </c>
      <c r="M272" s="12">
        <v>10292.394085884</v>
      </c>
      <c r="N272" s="12">
        <v>5.6104873550000001</v>
      </c>
      <c r="O272" s="12">
        <v>10286.783598529</v>
      </c>
      <c r="P272" s="12">
        <v>20.863367216</v>
      </c>
      <c r="Q272" s="12">
        <v>56.644989750999997</v>
      </c>
      <c r="R272" s="12">
        <v>10213.379990971</v>
      </c>
      <c r="S272" s="12">
        <v>1244.3127849124101</v>
      </c>
      <c r="T272" s="12" t="s">
        <v>333</v>
      </c>
      <c r="U272" s="28"/>
    </row>
    <row r="273" spans="1:21" x14ac:dyDescent="0.2">
      <c r="A273" s="12" t="s">
        <v>437</v>
      </c>
      <c r="B273" s="12"/>
      <c r="C273" s="12">
        <v>4</v>
      </c>
      <c r="D273" s="12">
        <v>2</v>
      </c>
      <c r="E273" s="12">
        <v>17</v>
      </c>
      <c r="F273" s="12">
        <v>18092.7156710624</v>
      </c>
      <c r="G273" s="12">
        <v>8.6040558815002406</v>
      </c>
      <c r="H273" s="12">
        <v>18080.514008998802</v>
      </c>
      <c r="I273" s="12">
        <v>993.61885613363597</v>
      </c>
      <c r="J273" s="41">
        <v>1.54851814815794E-2</v>
      </c>
      <c r="K273" s="41" t="s">
        <v>470</v>
      </c>
      <c r="M273" s="12">
        <v>5978.7849688529896</v>
      </c>
      <c r="N273" s="12">
        <v>5.6816825179999997</v>
      </c>
      <c r="O273" s="12">
        <v>5973.1032863349901</v>
      </c>
      <c r="P273" s="12">
        <v>21.156740792000001</v>
      </c>
      <c r="Q273" s="12">
        <v>172.090852794</v>
      </c>
      <c r="R273" s="12">
        <v>5784.1114051149998</v>
      </c>
      <c r="S273" s="12">
        <v>1190.59399975412</v>
      </c>
      <c r="T273" s="12" t="s">
        <v>333</v>
      </c>
      <c r="U273" s="28"/>
    </row>
    <row r="274" spans="1:21" x14ac:dyDescent="0.2">
      <c r="A274" s="12" t="s">
        <v>440</v>
      </c>
      <c r="B274" s="12"/>
      <c r="C274" s="12">
        <v>4</v>
      </c>
      <c r="D274" s="12">
        <v>2</v>
      </c>
      <c r="E274" s="12">
        <v>19</v>
      </c>
      <c r="F274" s="12">
        <v>4121.2442889213498</v>
      </c>
      <c r="G274" s="12">
        <v>8.63159084320068</v>
      </c>
      <c r="H274" s="12">
        <v>4109.0121729373896</v>
      </c>
      <c r="I274" s="12">
        <v>1052.12027568899</v>
      </c>
      <c r="J274" s="41" t="s">
        <v>333</v>
      </c>
      <c r="K274" s="41" t="s">
        <v>469</v>
      </c>
      <c r="M274" s="12">
        <v>2377.4639379978098</v>
      </c>
      <c r="N274" s="12">
        <v>5.2657290310000002</v>
      </c>
      <c r="O274" s="12">
        <v>2372.1982089668099</v>
      </c>
      <c r="P274" s="12">
        <v>20.537216536999999</v>
      </c>
      <c r="Q274" s="12">
        <v>53.688746678000001</v>
      </c>
      <c r="R274" s="12">
        <v>2301.8112300040002</v>
      </c>
      <c r="S274" s="12">
        <v>1354.16935856486</v>
      </c>
      <c r="T274" s="12" t="s">
        <v>333</v>
      </c>
      <c r="U274" s="28"/>
    </row>
    <row r="275" spans="1:21" x14ac:dyDescent="0.2">
      <c r="A275" s="12" t="s">
        <v>443</v>
      </c>
      <c r="B275" s="12"/>
      <c r="C275" s="12">
        <v>4</v>
      </c>
      <c r="D275" s="12">
        <v>2</v>
      </c>
      <c r="E275" s="12">
        <v>16</v>
      </c>
      <c r="F275" s="12">
        <v>18094.159358978199</v>
      </c>
      <c r="G275" s="12">
        <v>8.6103181838989205</v>
      </c>
      <c r="H275" s="12">
        <v>18081.948394060099</v>
      </c>
      <c r="I275" s="12">
        <v>1091.9596133119801</v>
      </c>
      <c r="J275" s="41">
        <v>1.18619219207768E-2</v>
      </c>
      <c r="K275" s="41" t="s">
        <v>470</v>
      </c>
      <c r="M275" s="12">
        <v>5762.1120040416699</v>
      </c>
      <c r="N275" s="12">
        <v>5.7225370270000004</v>
      </c>
      <c r="O275" s="12">
        <v>5756.3894670146701</v>
      </c>
      <c r="P275" s="12">
        <v>20.996341382000001</v>
      </c>
      <c r="Q275" s="12">
        <v>169.08371799700001</v>
      </c>
      <c r="R275" s="12">
        <v>5570.6047107189997</v>
      </c>
      <c r="S275" s="12">
        <v>1112.5712997053299</v>
      </c>
      <c r="T275" s="12" t="s">
        <v>333</v>
      </c>
      <c r="U275" s="28"/>
    </row>
    <row r="276" spans="1:21" x14ac:dyDescent="0.2">
      <c r="A276" s="12" t="s">
        <v>446</v>
      </c>
      <c r="B276" s="12"/>
      <c r="C276" s="12">
        <v>4</v>
      </c>
      <c r="D276" s="12">
        <v>2</v>
      </c>
      <c r="E276" s="12">
        <v>17</v>
      </c>
      <c r="F276" s="12">
        <v>18089.7834758758</v>
      </c>
      <c r="G276" s="12">
        <v>8.5602428913116402</v>
      </c>
      <c r="H276" s="12">
        <v>18077.619525909398</v>
      </c>
      <c r="I276" s="12">
        <v>1079.1994693847801</v>
      </c>
      <c r="J276" s="41">
        <v>1.1342006984102501E-2</v>
      </c>
      <c r="K276" s="41" t="s">
        <v>470</v>
      </c>
      <c r="M276" s="12">
        <v>13550.6317539215</v>
      </c>
      <c r="N276" s="12">
        <v>5.8069455469999998</v>
      </c>
      <c r="O276" s="12">
        <v>13544.8248083745</v>
      </c>
      <c r="P276" s="12">
        <v>20.868558283999999</v>
      </c>
      <c r="Q276" s="12">
        <v>36.450706957999998</v>
      </c>
      <c r="R276" s="12">
        <v>13491.874620827</v>
      </c>
      <c r="S276" s="12">
        <v>1252.06305871376</v>
      </c>
      <c r="T276" s="12" t="s">
        <v>333</v>
      </c>
      <c r="U276" s="28"/>
    </row>
    <row r="277" spans="1:21" x14ac:dyDescent="0.2">
      <c r="A277" s="12" t="s">
        <v>449</v>
      </c>
      <c r="B277" s="12"/>
      <c r="C277" s="12">
        <v>4</v>
      </c>
      <c r="D277" s="12">
        <v>2</v>
      </c>
      <c r="E277" s="12">
        <v>17</v>
      </c>
      <c r="F277" s="12">
        <v>18090.0728909969</v>
      </c>
      <c r="G277" s="12">
        <v>8.5412368774413991</v>
      </c>
      <c r="H277" s="12">
        <v>18077.942605018601</v>
      </c>
      <c r="I277" s="12">
        <v>1115.7540783797999</v>
      </c>
      <c r="J277" s="41">
        <v>7.5947428796686797E-3</v>
      </c>
      <c r="K277" s="41" t="s">
        <v>470</v>
      </c>
      <c r="M277" s="12">
        <v>191.01651597022999</v>
      </c>
      <c r="N277" s="12">
        <v>5.2786326499999996</v>
      </c>
      <c r="O277" s="12">
        <v>185.73788332023</v>
      </c>
      <c r="P277" s="12">
        <v>20.990079009999999</v>
      </c>
      <c r="Q277" s="12">
        <v>33.205482955999997</v>
      </c>
      <c r="R277" s="12">
        <v>135.39740510600001</v>
      </c>
      <c r="S277" s="12">
        <v>1194.46676216066</v>
      </c>
      <c r="T277" s="12" t="s">
        <v>333</v>
      </c>
      <c r="U277" s="28"/>
    </row>
    <row r="278" spans="1:21" s="33" customFormat="1" x14ac:dyDescent="0.2">
      <c r="A278" s="35"/>
      <c r="B278" s="35"/>
      <c r="C278" s="35">
        <v>4</v>
      </c>
      <c r="D278" s="35">
        <v>2</v>
      </c>
      <c r="E278" s="35"/>
      <c r="F278" s="35">
        <f>AVERAGE(F258:F277)</f>
        <v>17400.523859417404</v>
      </c>
      <c r="G278" s="35">
        <f t="shared" ref="G278:S278" si="20">AVERAGE(G258:G277)</f>
        <v>8.7973892211914038</v>
      </c>
      <c r="H278" s="35">
        <f t="shared" si="20"/>
        <v>17388.030967915005</v>
      </c>
      <c r="I278" s="35">
        <f t="shared" si="20"/>
        <v>1120.5306896223333</v>
      </c>
      <c r="J278" s="35"/>
      <c r="K278" s="35"/>
      <c r="L278" s="35"/>
      <c r="M278" s="35">
        <f t="shared" si="20"/>
        <v>7141.1617190832931</v>
      </c>
      <c r="N278" s="35">
        <f t="shared" si="20"/>
        <v>5.6720070513999996</v>
      </c>
      <c r="O278" s="35">
        <f t="shared" si="20"/>
        <v>7135.4897120318929</v>
      </c>
      <c r="P278" s="35">
        <f t="shared" si="20"/>
        <v>20.662531955000002</v>
      </c>
      <c r="Q278" s="35">
        <f t="shared" si="20"/>
        <v>104.29937927670574</v>
      </c>
      <c r="R278" s="35">
        <f t="shared" si="20"/>
        <v>6981.2336834051166</v>
      </c>
      <c r="S278" s="35">
        <f t="shared" si="20"/>
        <v>1212.716340201591</v>
      </c>
      <c r="T278" s="35"/>
      <c r="U278" s="44"/>
    </row>
    <row r="279" spans="1:21" x14ac:dyDescent="0.2">
      <c r="A279" s="12" t="s">
        <v>394</v>
      </c>
      <c r="B279" s="12"/>
      <c r="C279" s="12">
        <v>7</v>
      </c>
      <c r="D279" s="12">
        <v>4</v>
      </c>
      <c r="E279" s="12">
        <v>14</v>
      </c>
      <c r="F279" s="12">
        <v>18100.582659006101</v>
      </c>
      <c r="G279" s="12">
        <v>8.9377641677856392</v>
      </c>
      <c r="H279" s="12">
        <v>18087.901702880801</v>
      </c>
      <c r="I279" s="12">
        <v>1034.9295560851699</v>
      </c>
      <c r="J279" s="12">
        <v>1.6457192842043299E-2</v>
      </c>
      <c r="K279" s="41" t="s">
        <v>470</v>
      </c>
      <c r="M279" s="12">
        <v>4720.5982830524399</v>
      </c>
      <c r="N279" s="12">
        <v>5.3761554349999896</v>
      </c>
      <c r="O279" s="12">
        <v>4715.2221276174396</v>
      </c>
      <c r="P279" s="12">
        <v>154.95610353399999</v>
      </c>
      <c r="Q279" s="12">
        <v>398.27485860799999</v>
      </c>
      <c r="R279" s="12">
        <v>4165.819509039</v>
      </c>
      <c r="S279" s="12">
        <v>1028.58523031188</v>
      </c>
      <c r="T279" s="12" t="s">
        <v>333</v>
      </c>
      <c r="U279" s="12" t="s">
        <v>464</v>
      </c>
    </row>
    <row r="280" spans="1:21" x14ac:dyDescent="0.2">
      <c r="A280" s="12" t="s">
        <v>397</v>
      </c>
      <c r="B280" s="12"/>
      <c r="C280" s="12">
        <v>7</v>
      </c>
      <c r="D280" s="12">
        <v>4</v>
      </c>
      <c r="E280" s="12">
        <v>14</v>
      </c>
      <c r="F280" s="12">
        <v>18096.254565954201</v>
      </c>
      <c r="G280" s="12">
        <v>8.6421968936920095</v>
      </c>
      <c r="H280" s="12">
        <v>18083.9564750194</v>
      </c>
      <c r="I280" s="12">
        <v>971.482268810096</v>
      </c>
      <c r="J280" s="12">
        <v>6.9715447623484102E-4</v>
      </c>
      <c r="K280" s="41" t="s">
        <v>470</v>
      </c>
      <c r="M280" s="12">
        <v>5865.14</v>
      </c>
      <c r="N280" s="12">
        <v>5.34</v>
      </c>
      <c r="O280" s="12">
        <v>5859.8</v>
      </c>
      <c r="P280" s="12" t="s">
        <v>333</v>
      </c>
      <c r="Q280" s="12" t="s">
        <v>333</v>
      </c>
      <c r="R280" s="12" t="s">
        <v>333</v>
      </c>
      <c r="S280" s="12">
        <v>971.482268810096</v>
      </c>
      <c r="T280" s="12" t="s">
        <v>463</v>
      </c>
      <c r="U280" s="28"/>
    </row>
    <row r="281" spans="1:21" x14ac:dyDescent="0.2">
      <c r="A281" s="12" t="s">
        <v>400</v>
      </c>
      <c r="B281" s="12"/>
      <c r="C281" s="12">
        <v>7</v>
      </c>
      <c r="D281" s="12">
        <v>4</v>
      </c>
      <c r="E281" s="12">
        <v>14</v>
      </c>
      <c r="F281" s="12">
        <v>18107.2315399646</v>
      </c>
      <c r="G281" s="12">
        <v>8.4746320247650093</v>
      </c>
      <c r="H281" s="12">
        <v>18095.184609174699</v>
      </c>
      <c r="I281" s="12">
        <v>940.449473970898</v>
      </c>
      <c r="J281" s="12">
        <v>1.24520134941975E-2</v>
      </c>
      <c r="K281" s="41" t="s">
        <v>470</v>
      </c>
      <c r="M281" s="12">
        <v>804.24</v>
      </c>
      <c r="N281" s="12">
        <v>5.45</v>
      </c>
      <c r="O281" s="12">
        <v>798.79</v>
      </c>
      <c r="P281" s="12" t="s">
        <v>333</v>
      </c>
      <c r="Q281" s="12" t="s">
        <v>333</v>
      </c>
      <c r="R281" s="12" t="s">
        <v>333</v>
      </c>
      <c r="S281" s="12">
        <v>999.14703656707002</v>
      </c>
      <c r="T281" s="12" t="s">
        <v>463</v>
      </c>
      <c r="U281" s="28"/>
    </row>
    <row r="282" spans="1:21" x14ac:dyDescent="0.2">
      <c r="A282" s="12" t="s">
        <v>403</v>
      </c>
      <c r="B282" s="12"/>
      <c r="C282" s="12">
        <v>7</v>
      </c>
      <c r="D282" s="12">
        <v>4</v>
      </c>
      <c r="E282" s="12">
        <v>15</v>
      </c>
      <c r="F282" s="12">
        <v>18125.025508880601</v>
      </c>
      <c r="G282" s="12">
        <v>8.7713248729705793</v>
      </c>
      <c r="H282" s="12">
        <v>18112.522240161801</v>
      </c>
      <c r="I282" s="12">
        <v>989.95125804756799</v>
      </c>
      <c r="J282" s="12">
        <v>8.3983207507665903E-3</v>
      </c>
      <c r="K282" s="41" t="s">
        <v>470</v>
      </c>
      <c r="M282" s="12">
        <v>1519.8090288639</v>
      </c>
      <c r="N282" s="12">
        <v>5.685112921</v>
      </c>
      <c r="O282" s="12">
        <v>1514.1239159429001</v>
      </c>
      <c r="P282" s="12">
        <v>148.58608789300001</v>
      </c>
      <c r="Q282" s="12">
        <v>61.640821826999897</v>
      </c>
      <c r="R282" s="12">
        <v>1308.032211812</v>
      </c>
      <c r="S282" s="12">
        <v>988.03608087903694</v>
      </c>
      <c r="T282" s="12" t="s">
        <v>333</v>
      </c>
      <c r="U282" s="28"/>
    </row>
    <row r="283" spans="1:21" x14ac:dyDescent="0.2">
      <c r="A283" s="12" t="s">
        <v>406</v>
      </c>
      <c r="B283" s="12"/>
      <c r="C283" s="12">
        <v>7</v>
      </c>
      <c r="D283" s="12">
        <v>4</v>
      </c>
      <c r="E283" s="12">
        <v>14</v>
      </c>
      <c r="F283" s="12">
        <v>18111.385076999599</v>
      </c>
      <c r="G283" s="12">
        <v>8.9406270980834908</v>
      </c>
      <c r="H283" s="12">
        <v>18098.670042991602</v>
      </c>
      <c r="I283" s="12">
        <v>983.88941487912598</v>
      </c>
      <c r="J283" s="12">
        <v>8.3422601713361091E-3</v>
      </c>
      <c r="K283" s="41" t="s">
        <v>470</v>
      </c>
      <c r="M283" s="12">
        <v>11273.55</v>
      </c>
      <c r="N283" s="12">
        <v>5.48</v>
      </c>
      <c r="O283" s="12">
        <v>11268.07</v>
      </c>
      <c r="P283" s="12" t="s">
        <v>333</v>
      </c>
      <c r="Q283" s="12" t="s">
        <v>333</v>
      </c>
      <c r="R283" s="12" t="s">
        <v>333</v>
      </c>
      <c r="S283" s="12">
        <v>984.90953839436099</v>
      </c>
      <c r="T283" s="12" t="s">
        <v>463</v>
      </c>
      <c r="U283" s="28"/>
    </row>
    <row r="284" spans="1:21" x14ac:dyDescent="0.2">
      <c r="A284" s="12" t="s">
        <v>409</v>
      </c>
      <c r="B284" s="12"/>
      <c r="C284" s="12">
        <v>7</v>
      </c>
      <c r="D284" s="12">
        <v>4</v>
      </c>
      <c r="E284" s="12">
        <v>14</v>
      </c>
      <c r="F284" s="12">
        <v>18099.151335954601</v>
      </c>
      <c r="G284" s="12">
        <v>8.6086449623107892</v>
      </c>
      <c r="H284" s="12">
        <v>18086.931105852102</v>
      </c>
      <c r="I284" s="12">
        <v>1051.04137917668</v>
      </c>
      <c r="J284" s="12">
        <v>4.14150802945304E-2</v>
      </c>
      <c r="K284" s="41" t="s">
        <v>470</v>
      </c>
      <c r="M284" s="12">
        <v>8304.65</v>
      </c>
      <c r="N284" s="12">
        <v>5.79</v>
      </c>
      <c r="O284" s="12">
        <v>8298.85</v>
      </c>
      <c r="P284" s="12" t="s">
        <v>333</v>
      </c>
      <c r="Q284" s="12" t="s">
        <v>333</v>
      </c>
      <c r="R284" s="12" t="s">
        <v>333</v>
      </c>
      <c r="S284" s="12">
        <v>1047.5862267708701</v>
      </c>
      <c r="T284" s="12" t="s">
        <v>463</v>
      </c>
      <c r="U284" s="28"/>
    </row>
    <row r="285" spans="1:21" x14ac:dyDescent="0.2">
      <c r="A285" s="12" t="s">
        <v>411</v>
      </c>
      <c r="B285" s="12"/>
      <c r="C285" s="12">
        <v>7</v>
      </c>
      <c r="D285" s="12">
        <v>4</v>
      </c>
      <c r="E285" s="12">
        <v>14</v>
      </c>
      <c r="F285" s="12">
        <v>18108.755208969102</v>
      </c>
      <c r="G285" s="12">
        <v>8.5997948646545392</v>
      </c>
      <c r="H285" s="12">
        <v>18096.523324012702</v>
      </c>
      <c r="I285" s="12">
        <v>988.98748922352604</v>
      </c>
      <c r="J285" s="12">
        <v>3.12595132708939E-2</v>
      </c>
      <c r="K285" s="41" t="s">
        <v>470</v>
      </c>
      <c r="M285" s="12">
        <v>711.51</v>
      </c>
      <c r="N285" s="12">
        <v>5.25</v>
      </c>
      <c r="O285" s="12">
        <v>706.26</v>
      </c>
      <c r="P285" s="12" t="s">
        <v>333</v>
      </c>
      <c r="Q285" s="12" t="s">
        <v>333</v>
      </c>
      <c r="R285" s="12" t="s">
        <v>333</v>
      </c>
      <c r="S285" s="12">
        <v>1030.5136665412899</v>
      </c>
      <c r="T285" s="12" t="s">
        <v>463</v>
      </c>
      <c r="U285" s="28"/>
    </row>
    <row r="286" spans="1:21" x14ac:dyDescent="0.2">
      <c r="A286" s="12" t="s">
        <v>414</v>
      </c>
      <c r="B286" s="12"/>
      <c r="C286" s="12">
        <v>7</v>
      </c>
      <c r="D286" s="12">
        <v>4</v>
      </c>
      <c r="E286" s="12">
        <v>14</v>
      </c>
      <c r="F286" s="12">
        <v>18096.0053899288</v>
      </c>
      <c r="G286" s="12">
        <v>8.5524578094482404</v>
      </c>
      <c r="H286" s="12">
        <v>18083.857423066998</v>
      </c>
      <c r="I286" s="12">
        <v>974.18129180121502</v>
      </c>
      <c r="J286" s="12">
        <v>3.9331384672366299E-2</v>
      </c>
      <c r="K286" s="41" t="s">
        <v>470</v>
      </c>
      <c r="M286" s="12">
        <v>1178.1600000000001</v>
      </c>
      <c r="N286" s="12">
        <v>5.3</v>
      </c>
      <c r="O286" s="12">
        <v>1172.8599999999999</v>
      </c>
      <c r="P286" s="12" t="s">
        <v>333</v>
      </c>
      <c r="Q286" s="12" t="s">
        <v>333</v>
      </c>
      <c r="R286" s="12" t="s">
        <v>333</v>
      </c>
      <c r="S286" s="12">
        <v>1069.01998393912</v>
      </c>
      <c r="T286" s="12" t="s">
        <v>463</v>
      </c>
      <c r="U286" s="28"/>
    </row>
    <row r="287" spans="1:21" x14ac:dyDescent="0.2">
      <c r="A287" s="12" t="s">
        <v>417</v>
      </c>
      <c r="B287" s="12"/>
      <c r="C287" s="12">
        <v>7</v>
      </c>
      <c r="D287" s="12">
        <v>4</v>
      </c>
      <c r="E287" s="12">
        <v>15</v>
      </c>
      <c r="F287" s="12">
        <v>18100.991199016498</v>
      </c>
      <c r="G287" s="12">
        <v>8.5493850708007795</v>
      </c>
      <c r="H287" s="12">
        <v>18088.847481012301</v>
      </c>
      <c r="I287" s="12">
        <v>1042.7466566637099</v>
      </c>
      <c r="J287" s="12">
        <v>4.7504584988322197E-2</v>
      </c>
      <c r="K287" s="41" t="s">
        <v>470</v>
      </c>
      <c r="M287" s="12">
        <v>15829.100807905101</v>
      </c>
      <c r="N287" s="12">
        <v>5.618425405</v>
      </c>
      <c r="O287" s="12">
        <v>15823.4823825001</v>
      </c>
      <c r="P287" s="12">
        <v>151.818734388</v>
      </c>
      <c r="Q287" s="12">
        <v>718.596257412</v>
      </c>
      <c r="R287" s="12">
        <v>14957.024247817</v>
      </c>
      <c r="S287" s="12">
        <v>1034.6978246739</v>
      </c>
      <c r="T287" s="12" t="s">
        <v>333</v>
      </c>
      <c r="U287" s="28"/>
    </row>
    <row r="288" spans="1:21" x14ac:dyDescent="0.2">
      <c r="A288" s="12" t="s">
        <v>420</v>
      </c>
      <c r="B288" s="12"/>
      <c r="C288" s="12">
        <v>7</v>
      </c>
      <c r="D288" s="12">
        <v>4</v>
      </c>
      <c r="E288" s="12">
        <v>16</v>
      </c>
      <c r="F288" s="12">
        <v>18101.3628380298</v>
      </c>
      <c r="G288" s="12">
        <v>8.59073710441589</v>
      </c>
      <c r="H288" s="12">
        <v>18089.1725730896</v>
      </c>
      <c r="I288" s="12">
        <v>1103.3530268134</v>
      </c>
      <c r="J288" s="12">
        <v>4.3767751616016301E-2</v>
      </c>
      <c r="K288" s="41" t="s">
        <v>470</v>
      </c>
      <c r="M288" s="12">
        <v>1883.23518300056</v>
      </c>
      <c r="N288" s="12">
        <v>5.2988483710000001</v>
      </c>
      <c r="O288" s="12">
        <v>1877.93633462956</v>
      </c>
      <c r="P288" s="12">
        <v>152.821544273</v>
      </c>
      <c r="Q288" s="12">
        <v>372.68879206600002</v>
      </c>
      <c r="R288" s="12">
        <v>1356.1857222440001</v>
      </c>
      <c r="S288" s="12">
        <v>1090.97455849162</v>
      </c>
      <c r="T288" s="12" t="s">
        <v>333</v>
      </c>
      <c r="U288" s="28"/>
    </row>
    <row r="289" spans="1:21" x14ac:dyDescent="0.2">
      <c r="A289" s="12" t="s">
        <v>423</v>
      </c>
      <c r="B289" s="12"/>
      <c r="C289" s="12">
        <v>7</v>
      </c>
      <c r="D289" s="12">
        <v>4</v>
      </c>
      <c r="E289" s="12">
        <v>15</v>
      </c>
      <c r="F289" s="12">
        <v>18098.8402519226</v>
      </c>
      <c r="G289" s="12">
        <v>8.8425250053405708</v>
      </c>
      <c r="H289" s="12">
        <v>18086.216363191601</v>
      </c>
      <c r="I289" s="12">
        <v>1010.40912687338</v>
      </c>
      <c r="J289" s="12">
        <v>1.9130280941117898E-2</v>
      </c>
      <c r="K289" s="41" t="s">
        <v>470</v>
      </c>
      <c r="M289" s="12">
        <v>1625.41</v>
      </c>
      <c r="N289" s="12">
        <v>6.01</v>
      </c>
      <c r="O289" s="12">
        <v>1619.4</v>
      </c>
      <c r="P289" s="12" t="s">
        <v>333</v>
      </c>
      <c r="Q289" s="12" t="s">
        <v>333</v>
      </c>
      <c r="R289" s="12" t="s">
        <v>333</v>
      </c>
      <c r="S289" s="12">
        <v>1160.2402139256901</v>
      </c>
      <c r="T289" s="12" t="s">
        <v>463</v>
      </c>
      <c r="U289" s="28"/>
    </row>
    <row r="290" spans="1:21" x14ac:dyDescent="0.2">
      <c r="A290" s="12" t="s">
        <v>426</v>
      </c>
      <c r="B290" s="12"/>
      <c r="C290" s="12">
        <v>7</v>
      </c>
      <c r="D290" s="12">
        <v>4</v>
      </c>
      <c r="E290" s="12">
        <v>14</v>
      </c>
      <c r="F290" s="12">
        <v>18094.175058841702</v>
      </c>
      <c r="G290" s="12">
        <v>8.6087369918823207</v>
      </c>
      <c r="H290" s="12">
        <v>18081.962053060499</v>
      </c>
      <c r="I290" s="12">
        <v>958.01375174909901</v>
      </c>
      <c r="J290" s="12">
        <v>1.5583217675548201E-2</v>
      </c>
      <c r="K290" s="41" t="s">
        <v>470</v>
      </c>
      <c r="M290" s="12">
        <v>14972.34</v>
      </c>
      <c r="N290" s="12">
        <v>7.28</v>
      </c>
      <c r="O290" s="12">
        <v>14965.06</v>
      </c>
      <c r="P290" s="12" t="s">
        <v>333</v>
      </c>
      <c r="Q290" s="12" t="s">
        <v>333</v>
      </c>
      <c r="R290" s="12" t="s">
        <v>333</v>
      </c>
      <c r="S290" s="12">
        <v>958.01375174909901</v>
      </c>
      <c r="T290" s="12" t="s">
        <v>463</v>
      </c>
      <c r="U290" s="28"/>
    </row>
    <row r="291" spans="1:21" x14ac:dyDescent="0.2">
      <c r="A291" s="12" t="s">
        <v>429</v>
      </c>
      <c r="B291" s="12"/>
      <c r="C291" s="12">
        <v>7</v>
      </c>
      <c r="D291" s="12">
        <v>4</v>
      </c>
      <c r="E291" s="12">
        <v>15</v>
      </c>
      <c r="F291" s="12">
        <v>18084.290158033298</v>
      </c>
      <c r="G291" s="12">
        <v>8.6356911659240705</v>
      </c>
      <c r="H291" s="12">
        <v>18071.932415962201</v>
      </c>
      <c r="I291" s="12">
        <v>934.09578353224595</v>
      </c>
      <c r="J291" s="12">
        <v>2.6845906658248399E-2</v>
      </c>
      <c r="K291" s="41" t="s">
        <v>470</v>
      </c>
      <c r="M291" s="12">
        <v>591.94000000000005</v>
      </c>
      <c r="N291" s="12">
        <v>5.24</v>
      </c>
      <c r="O291" s="12">
        <v>586.70000000000005</v>
      </c>
      <c r="P291" s="12" t="s">
        <v>333</v>
      </c>
      <c r="Q291" s="12" t="s">
        <v>333</v>
      </c>
      <c r="R291" s="12" t="s">
        <v>333</v>
      </c>
      <c r="S291" s="12">
        <v>948.19618990478102</v>
      </c>
      <c r="T291" s="12" t="s">
        <v>463</v>
      </c>
      <c r="U291" s="28"/>
    </row>
    <row r="292" spans="1:21" x14ac:dyDescent="0.2">
      <c r="A292" s="12" t="s">
        <v>432</v>
      </c>
      <c r="B292" s="12"/>
      <c r="C292" s="12">
        <v>7</v>
      </c>
      <c r="D292" s="12">
        <v>4</v>
      </c>
      <c r="E292" s="12">
        <v>15</v>
      </c>
      <c r="F292" s="12">
        <v>18096.050481081002</v>
      </c>
      <c r="G292" s="12">
        <v>8.60640096664428</v>
      </c>
      <c r="H292" s="12">
        <v>18083.849529027899</v>
      </c>
      <c r="I292" s="12">
        <v>951.15627941869798</v>
      </c>
      <c r="J292" s="12">
        <v>2.0944491544989601E-2</v>
      </c>
      <c r="K292" s="41" t="s">
        <v>470</v>
      </c>
      <c r="M292" s="12">
        <v>12339.59</v>
      </c>
      <c r="N292" s="12">
        <v>5.25</v>
      </c>
      <c r="O292" s="12">
        <v>12334.34</v>
      </c>
      <c r="P292" s="12" t="s">
        <v>333</v>
      </c>
      <c r="Q292" s="12" t="s">
        <v>333</v>
      </c>
      <c r="R292" s="12" t="s">
        <v>333</v>
      </c>
      <c r="S292" s="12">
        <v>947.10875455665803</v>
      </c>
      <c r="T292" s="12" t="s">
        <v>463</v>
      </c>
      <c r="U292" s="28"/>
    </row>
    <row r="293" spans="1:21" x14ac:dyDescent="0.2">
      <c r="A293" s="12" t="s">
        <v>435</v>
      </c>
      <c r="B293" s="12"/>
      <c r="C293" s="12">
        <v>7</v>
      </c>
      <c r="D293" s="12">
        <v>4</v>
      </c>
      <c r="E293" s="12">
        <v>14</v>
      </c>
      <c r="F293" s="12">
        <v>18090.901078939401</v>
      </c>
      <c r="G293" s="12">
        <v>8.5789740085601807</v>
      </c>
      <c r="H293" s="12">
        <v>18078.729848146399</v>
      </c>
      <c r="I293" s="12">
        <v>1002.24755353701</v>
      </c>
      <c r="J293" s="12">
        <v>2.5393009218094901E-2</v>
      </c>
      <c r="K293" s="41" t="s">
        <v>470</v>
      </c>
      <c r="M293" s="12">
        <v>16207.879643917</v>
      </c>
      <c r="N293" s="12">
        <v>5.6106074829999999</v>
      </c>
      <c r="O293" s="12">
        <v>16202.269036434</v>
      </c>
      <c r="P293" s="12">
        <v>152.570135846</v>
      </c>
      <c r="Q293" s="12">
        <v>4464.8873325079903</v>
      </c>
      <c r="R293" s="12">
        <v>11588.861792579</v>
      </c>
      <c r="S293" s="12">
        <v>999.37009175628998</v>
      </c>
      <c r="T293" s="12" t="s">
        <v>333</v>
      </c>
      <c r="U293" s="28"/>
    </row>
    <row r="294" spans="1:21" x14ac:dyDescent="0.2">
      <c r="A294" s="12" t="s">
        <v>438</v>
      </c>
      <c r="B294" s="12"/>
      <c r="C294" s="12">
        <v>7</v>
      </c>
      <c r="D294" s="12">
        <v>4</v>
      </c>
      <c r="E294" s="12">
        <v>15</v>
      </c>
      <c r="F294" s="12">
        <v>18097.252058982798</v>
      </c>
      <c r="G294" s="12">
        <v>8.5796360969543404</v>
      </c>
      <c r="H294" s="12">
        <v>18085.0748450756</v>
      </c>
      <c r="I294" s="12">
        <v>1153.4681915577601</v>
      </c>
      <c r="J294" s="12">
        <v>1.43238482446214E-2</v>
      </c>
      <c r="K294" s="41" t="s">
        <v>469</v>
      </c>
      <c r="M294" s="12">
        <v>333.42</v>
      </c>
      <c r="N294" s="12">
        <v>5.61</v>
      </c>
      <c r="O294" s="12">
        <v>327.8</v>
      </c>
      <c r="P294" s="12" t="s">
        <v>333</v>
      </c>
      <c r="Q294" s="12" t="s">
        <v>333</v>
      </c>
      <c r="R294" s="12" t="s">
        <v>333</v>
      </c>
      <c r="S294" s="12">
        <v>11316.6607133378</v>
      </c>
      <c r="T294" s="12" t="s">
        <v>463</v>
      </c>
      <c r="U294" s="28"/>
    </row>
    <row r="295" spans="1:21" x14ac:dyDescent="0.2">
      <c r="A295" s="12" t="s">
        <v>441</v>
      </c>
      <c r="B295" s="12"/>
      <c r="C295" s="12">
        <v>7</v>
      </c>
      <c r="D295" s="12">
        <v>4</v>
      </c>
      <c r="E295" s="12">
        <v>14</v>
      </c>
      <c r="F295" s="12">
        <v>4662.1283218860599</v>
      </c>
      <c r="G295" s="12">
        <v>8.5920429229736293</v>
      </c>
      <c r="H295" s="12">
        <v>4649.9435589313498</v>
      </c>
      <c r="I295" s="12">
        <v>951.58684426628304</v>
      </c>
      <c r="J295" s="12" t="s">
        <v>333</v>
      </c>
      <c r="K295" s="41" t="s">
        <v>469</v>
      </c>
      <c r="M295" s="12">
        <v>18881.815867900801</v>
      </c>
      <c r="N295" s="12">
        <v>5.519807396</v>
      </c>
      <c r="O295" s="12">
        <v>18876.296060504799</v>
      </c>
      <c r="P295" s="12">
        <v>156.55603820600001</v>
      </c>
      <c r="Q295" s="12">
        <v>146.42785727899999</v>
      </c>
      <c r="R295" s="12">
        <v>18577.203961018</v>
      </c>
      <c r="S295" s="12">
        <v>952.66258663004396</v>
      </c>
      <c r="T295" s="12" t="s">
        <v>333</v>
      </c>
      <c r="U295" s="28"/>
    </row>
    <row r="296" spans="1:21" x14ac:dyDescent="0.2">
      <c r="A296" s="12" t="s">
        <v>444</v>
      </c>
      <c r="B296" s="12"/>
      <c r="C296" s="12">
        <v>7</v>
      </c>
      <c r="D296" s="12">
        <v>4</v>
      </c>
      <c r="E296" s="12">
        <v>14</v>
      </c>
      <c r="F296" s="12">
        <v>18093.0482838153</v>
      </c>
      <c r="G296" s="12">
        <v>8.5812249183654696</v>
      </c>
      <c r="H296" s="12">
        <v>18080.884712934399</v>
      </c>
      <c r="I296" s="12">
        <v>963.62505688458305</v>
      </c>
      <c r="J296" s="12">
        <v>6.7456357076582903E-3</v>
      </c>
      <c r="K296" s="41" t="s">
        <v>470</v>
      </c>
      <c r="M296" s="12">
        <v>21026.75</v>
      </c>
      <c r="N296" s="12">
        <v>6.11</v>
      </c>
      <c r="O296" s="12">
        <v>21020.639999999999</v>
      </c>
      <c r="P296" s="12" t="s">
        <v>333</v>
      </c>
      <c r="Q296" s="12" t="s">
        <v>333</v>
      </c>
      <c r="R296" s="12" t="s">
        <v>333</v>
      </c>
      <c r="S296" s="12">
        <v>963.39213268784499</v>
      </c>
      <c r="T296" s="12" t="s">
        <v>463</v>
      </c>
      <c r="U296" s="28"/>
    </row>
    <row r="297" spans="1:21" x14ac:dyDescent="0.2">
      <c r="A297" s="12" t="s">
        <v>447</v>
      </c>
      <c r="B297" s="12"/>
      <c r="C297" s="12">
        <v>7</v>
      </c>
      <c r="D297" s="12">
        <v>4</v>
      </c>
      <c r="E297" s="12">
        <v>14</v>
      </c>
      <c r="F297" s="12">
        <v>11150.2098081111</v>
      </c>
      <c r="G297" s="12">
        <v>8.6147420406341499</v>
      </c>
      <c r="H297" s="12">
        <v>11137.997574090899</v>
      </c>
      <c r="I297" s="12">
        <v>940.63059945557404</v>
      </c>
      <c r="J297" s="12" t="s">
        <v>333</v>
      </c>
      <c r="K297" s="41" t="s">
        <v>469</v>
      </c>
      <c r="M297" s="12">
        <v>3306.0214779376902</v>
      </c>
      <c r="N297" s="12">
        <v>5.3229133179999897</v>
      </c>
      <c r="O297" s="12">
        <v>3300.6985646196899</v>
      </c>
      <c r="P297" s="12">
        <v>153.67655506899999</v>
      </c>
      <c r="Q297" s="12">
        <v>174.54612770599999</v>
      </c>
      <c r="R297" s="12">
        <v>2976.2259896139999</v>
      </c>
      <c r="S297" s="12">
        <v>940.63059945557404</v>
      </c>
      <c r="T297" s="12" t="s">
        <v>333</v>
      </c>
      <c r="U297" s="28"/>
    </row>
    <row r="298" spans="1:21" x14ac:dyDescent="0.2">
      <c r="A298" s="12" t="s">
        <v>450</v>
      </c>
      <c r="B298" s="12"/>
      <c r="C298" s="12">
        <v>7</v>
      </c>
      <c r="D298" s="12">
        <v>4</v>
      </c>
      <c r="E298" s="12">
        <v>14</v>
      </c>
      <c r="F298" s="12">
        <v>17913.848313093102</v>
      </c>
      <c r="G298" s="12">
        <v>8.5906860828399605</v>
      </c>
      <c r="H298" s="12">
        <v>17901.6044180393</v>
      </c>
      <c r="I298" s="12">
        <v>1016.56903345914</v>
      </c>
      <c r="J298" s="12" t="s">
        <v>333</v>
      </c>
      <c r="K298" s="41" t="s">
        <v>469</v>
      </c>
      <c r="M298" s="12">
        <v>19706.884551048199</v>
      </c>
      <c r="N298" s="12">
        <v>5.7074870000000004</v>
      </c>
      <c r="O298" s="12">
        <v>19701.177064048199</v>
      </c>
      <c r="P298" s="12">
        <v>154.86892441500001</v>
      </c>
      <c r="Q298" s="12">
        <v>2016.9411954540001</v>
      </c>
      <c r="R298" s="12">
        <v>17533.433863013001</v>
      </c>
      <c r="S298" s="12">
        <v>1016.56903345914</v>
      </c>
      <c r="T298" s="12" t="s">
        <v>333</v>
      </c>
      <c r="U298" s="28"/>
    </row>
    <row r="299" spans="1:21" s="33" customFormat="1" x14ac:dyDescent="0.2">
      <c r="A299" s="35"/>
      <c r="B299" s="35"/>
      <c r="C299" s="35">
        <v>7</v>
      </c>
      <c r="D299" s="35">
        <v>4</v>
      </c>
      <c r="E299" s="35"/>
      <c r="F299" s="35">
        <f>AVERAGE(F279:F298)</f>
        <v>17071.374456870515</v>
      </c>
      <c r="G299" s="35">
        <f t="shared" ref="G299:S299" si="21">AVERAGE(G279:G298)</f>
        <v>8.6449112534522996</v>
      </c>
      <c r="H299" s="35">
        <f t="shared" si="21"/>
        <v>17059.088114786111</v>
      </c>
      <c r="I299" s="35">
        <f t="shared" si="21"/>
        <v>998.14070181025784</v>
      </c>
      <c r="J299" s="35"/>
      <c r="K299" s="35"/>
      <c r="L299" s="35"/>
      <c r="M299" s="35">
        <f t="shared" si="21"/>
        <v>8054.1022421812859</v>
      </c>
      <c r="N299" s="35">
        <f t="shared" si="21"/>
        <v>5.6124678664499985</v>
      </c>
      <c r="O299" s="35">
        <f t="shared" si="21"/>
        <v>8048.4887743148338</v>
      </c>
      <c r="P299" s="35">
        <f t="shared" si="21"/>
        <v>153.23176545300001</v>
      </c>
      <c r="Q299" s="35">
        <f t="shared" si="21"/>
        <v>1044.2504053574989</v>
      </c>
      <c r="R299" s="35">
        <f t="shared" si="21"/>
        <v>9057.8484121420006</v>
      </c>
      <c r="S299" s="35">
        <f t="shared" si="21"/>
        <v>1522.389824142108</v>
      </c>
      <c r="T299" s="35"/>
      <c r="U299" s="44"/>
    </row>
    <row r="300" spans="1:21" x14ac:dyDescent="0.2">
      <c r="A300" s="12" t="s">
        <v>395</v>
      </c>
      <c r="B300" s="12"/>
      <c r="C300" s="12">
        <v>9</v>
      </c>
      <c r="D300" s="12">
        <v>5</v>
      </c>
      <c r="E300" s="12">
        <v>14</v>
      </c>
      <c r="F300" s="12">
        <v>18090.758355855902</v>
      </c>
      <c r="G300" s="12">
        <v>8.64805006980896</v>
      </c>
      <c r="H300" s="12">
        <v>18078.490805864301</v>
      </c>
      <c r="I300" s="12">
        <v>1083.36625413299</v>
      </c>
      <c r="J300" s="12">
        <v>1.05536861952362E-2</v>
      </c>
      <c r="K300" s="41" t="s">
        <v>470</v>
      </c>
      <c r="M300" s="12">
        <v>12645.62</v>
      </c>
      <c r="N300" s="12">
        <v>5.39</v>
      </c>
      <c r="O300" s="12">
        <v>12640.23</v>
      </c>
      <c r="P300" s="12" t="s">
        <v>333</v>
      </c>
      <c r="Q300" s="12" t="s">
        <v>333</v>
      </c>
      <c r="R300" s="12" t="s">
        <v>333</v>
      </c>
      <c r="S300" s="12">
        <v>1086.04191665847</v>
      </c>
      <c r="T300" s="12" t="s">
        <v>463</v>
      </c>
      <c r="U300" s="28"/>
    </row>
    <row r="301" spans="1:21" x14ac:dyDescent="0.2">
      <c r="A301" s="12" t="s">
        <v>398</v>
      </c>
      <c r="B301" s="12"/>
      <c r="C301" s="12">
        <v>9</v>
      </c>
      <c r="D301" s="12">
        <v>5</v>
      </c>
      <c r="E301" s="12">
        <v>13</v>
      </c>
      <c r="F301" s="12">
        <v>18112.7586679458</v>
      </c>
      <c r="G301" s="12">
        <v>8.6083331108093208</v>
      </c>
      <c r="H301" s="12">
        <v>18100.462336063301</v>
      </c>
      <c r="I301" s="12">
        <v>1060.41025903633</v>
      </c>
      <c r="J301" s="12">
        <v>4.2354612666950196E-3</v>
      </c>
      <c r="K301" s="41" t="s">
        <v>470</v>
      </c>
      <c r="M301" s="12">
        <v>12397.81</v>
      </c>
      <c r="N301" s="12">
        <v>5.5</v>
      </c>
      <c r="O301" s="12">
        <v>12392.31</v>
      </c>
      <c r="P301" s="12" t="s">
        <v>333</v>
      </c>
      <c r="Q301" s="12" t="s">
        <v>333</v>
      </c>
      <c r="R301" s="12" t="s">
        <v>333</v>
      </c>
      <c r="S301" s="12">
        <v>1060.6000659675699</v>
      </c>
      <c r="T301" s="12" t="s">
        <v>463</v>
      </c>
      <c r="U301" s="28"/>
    </row>
    <row r="302" spans="1:21" x14ac:dyDescent="0.2">
      <c r="A302" s="12" t="s">
        <v>401</v>
      </c>
      <c r="B302" s="12"/>
      <c r="C302" s="12">
        <v>9</v>
      </c>
      <c r="D302" s="12">
        <v>5</v>
      </c>
      <c r="E302" s="12">
        <v>15</v>
      </c>
      <c r="F302" s="12">
        <v>18127.080754041599</v>
      </c>
      <c r="G302" s="12">
        <v>9.0953152179718</v>
      </c>
      <c r="H302" s="12">
        <v>18114.223980188301</v>
      </c>
      <c r="I302" s="12">
        <v>1137.4363973177799</v>
      </c>
      <c r="J302" s="12">
        <v>1.41425334286936E-2</v>
      </c>
      <c r="K302" s="41" t="s">
        <v>470</v>
      </c>
      <c r="M302" s="12">
        <v>4150.1186511516498</v>
      </c>
      <c r="N302" s="12">
        <v>5.3051038589999999</v>
      </c>
      <c r="O302" s="12">
        <v>4144.8135472926497</v>
      </c>
      <c r="P302" s="12">
        <v>1246.712275692</v>
      </c>
      <c r="Q302" s="12">
        <v>361.37714932900002</v>
      </c>
      <c r="R302" s="12">
        <v>2540.3847879169998</v>
      </c>
      <c r="S302" s="12">
        <v>1135.83341656429</v>
      </c>
      <c r="T302" s="12" t="s">
        <v>333</v>
      </c>
      <c r="U302" s="28"/>
    </row>
    <row r="303" spans="1:21" x14ac:dyDescent="0.2">
      <c r="A303" s="12" t="s">
        <v>404</v>
      </c>
      <c r="B303" s="12"/>
      <c r="C303" s="12">
        <v>9</v>
      </c>
      <c r="D303" s="12">
        <v>5</v>
      </c>
      <c r="E303" s="12">
        <v>13</v>
      </c>
      <c r="F303" s="12">
        <v>18091.798035144799</v>
      </c>
      <c r="G303" s="12">
        <v>8.6458060741424507</v>
      </c>
      <c r="H303" s="12">
        <v>18079.5315380096</v>
      </c>
      <c r="I303" s="12">
        <v>1036.075029654</v>
      </c>
      <c r="J303" s="12">
        <v>3.9820863988100103E-3</v>
      </c>
      <c r="K303" s="41" t="s">
        <v>470</v>
      </c>
      <c r="M303" s="12">
        <v>17445.12</v>
      </c>
      <c r="N303" s="12">
        <v>5.38</v>
      </c>
      <c r="O303" s="12">
        <v>17439.740000000002</v>
      </c>
      <c r="P303" s="12" t="s">
        <v>333</v>
      </c>
      <c r="Q303" s="12" t="s">
        <v>333</v>
      </c>
      <c r="R303" s="12" t="s">
        <v>333</v>
      </c>
      <c r="S303" s="12">
        <v>1038.7298939356699</v>
      </c>
      <c r="T303" s="12" t="s">
        <v>463</v>
      </c>
      <c r="U303" s="28"/>
    </row>
    <row r="304" spans="1:21" x14ac:dyDescent="0.2">
      <c r="A304" s="12" t="s">
        <v>407</v>
      </c>
      <c r="B304" s="12"/>
      <c r="C304" s="12">
        <v>9</v>
      </c>
      <c r="D304" s="12">
        <v>5</v>
      </c>
      <c r="E304" s="12">
        <v>15</v>
      </c>
      <c r="F304" s="12">
        <v>18101.256250143</v>
      </c>
      <c r="G304" s="12">
        <v>8.5877091884613002</v>
      </c>
      <c r="H304" s="12">
        <v>18089.0679349899</v>
      </c>
      <c r="I304" s="12">
        <v>1082.0672993006301</v>
      </c>
      <c r="J304" s="12">
        <v>1.20315052187604E-3</v>
      </c>
      <c r="K304" s="41" t="s">
        <v>470</v>
      </c>
      <c r="M304" s="12">
        <v>10302.299999999999</v>
      </c>
      <c r="N304" s="12">
        <v>5.59</v>
      </c>
      <c r="O304" s="12">
        <v>10296.709999999999</v>
      </c>
      <c r="P304" s="12" t="s">
        <v>333</v>
      </c>
      <c r="Q304" s="12" t="s">
        <v>333</v>
      </c>
      <c r="R304" s="12" t="s">
        <v>333</v>
      </c>
      <c r="S304" s="12">
        <v>1082.0672993006301</v>
      </c>
      <c r="T304" s="12" t="s">
        <v>463</v>
      </c>
      <c r="U304" s="28"/>
    </row>
    <row r="305" spans="1:21" x14ac:dyDescent="0.2">
      <c r="A305" s="12" t="s">
        <v>412</v>
      </c>
      <c r="B305" s="12"/>
      <c r="C305" s="12">
        <v>9</v>
      </c>
      <c r="D305" s="12">
        <v>5</v>
      </c>
      <c r="E305" s="12">
        <v>12</v>
      </c>
      <c r="F305" s="12">
        <v>18096.3007519245</v>
      </c>
      <c r="G305" s="12">
        <v>9.4180359840392995</v>
      </c>
      <c r="H305" s="12">
        <v>18082.938686847599</v>
      </c>
      <c r="I305" s="12">
        <v>1031.1262610875599</v>
      </c>
      <c r="J305" s="12">
        <v>4.5836960586661202E-2</v>
      </c>
      <c r="K305" s="41" t="s">
        <v>470</v>
      </c>
      <c r="M305" s="12">
        <v>7038.7923989295896</v>
      </c>
      <c r="N305" s="12">
        <v>5.2964927819999996</v>
      </c>
      <c r="O305" s="12">
        <v>7033.4959061475902</v>
      </c>
      <c r="P305" s="12">
        <v>1369.743338127</v>
      </c>
      <c r="Q305" s="12">
        <v>270.36602998699999</v>
      </c>
      <c r="R305" s="12">
        <v>5397.0486996159998</v>
      </c>
      <c r="S305" s="12">
        <v>1098.86952373862</v>
      </c>
      <c r="T305" s="12" t="s">
        <v>333</v>
      </c>
      <c r="U305" s="28"/>
    </row>
    <row r="306" spans="1:21" x14ac:dyDescent="0.2">
      <c r="A306" s="12" t="s">
        <v>415</v>
      </c>
      <c r="B306" s="12"/>
      <c r="C306" s="12">
        <v>9</v>
      </c>
      <c r="D306" s="12">
        <v>5</v>
      </c>
      <c r="E306" s="12">
        <v>13</v>
      </c>
      <c r="F306" s="12">
        <v>18113.867371082299</v>
      </c>
      <c r="G306" s="12">
        <v>8.5803041458129794</v>
      </c>
      <c r="H306" s="12">
        <v>18101.686738014199</v>
      </c>
      <c r="I306" s="12">
        <v>1112.55122003832</v>
      </c>
      <c r="J306" s="12">
        <v>4.4782577559663403E-2</v>
      </c>
      <c r="K306" s="41" t="s">
        <v>470</v>
      </c>
      <c r="M306" s="12">
        <v>6719.72</v>
      </c>
      <c r="N306" s="12">
        <v>5.3</v>
      </c>
      <c r="O306" s="12">
        <v>6714.42</v>
      </c>
      <c r="P306" s="12" t="s">
        <v>333</v>
      </c>
      <c r="Q306" s="12" t="s">
        <v>333</v>
      </c>
      <c r="R306" s="12" t="s">
        <v>333</v>
      </c>
      <c r="S306" s="12">
        <v>1325.5785423130701</v>
      </c>
      <c r="T306" s="12" t="s">
        <v>463</v>
      </c>
      <c r="U306" s="28"/>
    </row>
    <row r="307" spans="1:21" x14ac:dyDescent="0.2">
      <c r="A307" s="12" t="s">
        <v>418</v>
      </c>
      <c r="B307" s="12"/>
      <c r="C307" s="12">
        <v>9</v>
      </c>
      <c r="D307" s="12">
        <v>5</v>
      </c>
      <c r="E307" s="12">
        <v>13</v>
      </c>
      <c r="F307" s="12">
        <v>18092.508140087099</v>
      </c>
      <c r="G307" s="12">
        <v>8.5941340923309308</v>
      </c>
      <c r="H307" s="12">
        <v>18080.314393997101</v>
      </c>
      <c r="I307" s="12">
        <v>1111.8314138298899</v>
      </c>
      <c r="J307" s="12">
        <v>4.07876178909021E-2</v>
      </c>
      <c r="K307" s="41" t="s">
        <v>470</v>
      </c>
      <c r="M307" s="12">
        <v>3023.5929238796198</v>
      </c>
      <c r="N307" s="12">
        <v>5.2450899700000004</v>
      </c>
      <c r="O307" s="12">
        <v>3018.34783390962</v>
      </c>
      <c r="P307" s="12">
        <v>1252.644776462</v>
      </c>
      <c r="Q307" s="12">
        <v>942.28262096200001</v>
      </c>
      <c r="R307" s="12">
        <v>827.01719472399998</v>
      </c>
      <c r="S307" s="12">
        <v>1128.4671103041901</v>
      </c>
      <c r="T307" s="12" t="s">
        <v>333</v>
      </c>
      <c r="U307" s="28"/>
    </row>
    <row r="308" spans="1:21" x14ac:dyDescent="0.2">
      <c r="A308" s="12" t="s">
        <v>421</v>
      </c>
      <c r="B308" s="12"/>
      <c r="C308" s="12">
        <v>9</v>
      </c>
      <c r="D308" s="12">
        <v>5</v>
      </c>
      <c r="E308" s="12">
        <v>15</v>
      </c>
      <c r="F308" s="12">
        <v>18114.1434381008</v>
      </c>
      <c r="G308" s="12">
        <v>9.7391660213470406</v>
      </c>
      <c r="H308" s="12">
        <v>18100.308229207902</v>
      </c>
      <c r="I308" s="12">
        <v>1135.4995217565699</v>
      </c>
      <c r="J308" s="12">
        <v>3.7148525024884999E-2</v>
      </c>
      <c r="K308" s="41" t="s">
        <v>470</v>
      </c>
      <c r="M308" s="12">
        <v>1973.52</v>
      </c>
      <c r="N308" s="12">
        <v>5.25</v>
      </c>
      <c r="O308" s="12">
        <v>1968.28</v>
      </c>
      <c r="P308" s="12" t="s">
        <v>333</v>
      </c>
      <c r="Q308" s="12" t="s">
        <v>333</v>
      </c>
      <c r="R308" s="12" t="s">
        <v>333</v>
      </c>
      <c r="S308" s="12">
        <v>1100.95481111658</v>
      </c>
      <c r="T308" s="12" t="s">
        <v>463</v>
      </c>
      <c r="U308" s="28"/>
    </row>
    <row r="309" spans="1:21" x14ac:dyDescent="0.2">
      <c r="A309" s="12" t="s">
        <v>424</v>
      </c>
      <c r="B309" s="12"/>
      <c r="C309" s="12">
        <v>9</v>
      </c>
      <c r="D309" s="12">
        <v>5</v>
      </c>
      <c r="E309" s="12">
        <v>13</v>
      </c>
      <c r="F309" s="12">
        <v>18090.466583967202</v>
      </c>
      <c r="G309" s="12">
        <v>8.6040520668029696</v>
      </c>
      <c r="H309" s="12">
        <v>18078.259911060301</v>
      </c>
      <c r="I309" s="12">
        <v>1044.8904297915999</v>
      </c>
      <c r="J309" s="12">
        <v>3.9567660486622101E-2</v>
      </c>
      <c r="K309" s="41" t="s">
        <v>470</v>
      </c>
      <c r="M309" s="12">
        <v>4452.9399999999996</v>
      </c>
      <c r="N309" s="12">
        <v>5.3</v>
      </c>
      <c r="O309" s="12">
        <v>4447.6499999999996</v>
      </c>
      <c r="P309" s="12" t="s">
        <v>333</v>
      </c>
      <c r="Q309" s="12" t="s">
        <v>333</v>
      </c>
      <c r="R309" s="12" t="s">
        <v>333</v>
      </c>
      <c r="S309" s="12">
        <v>1096.7464020816601</v>
      </c>
      <c r="T309" s="12" t="s">
        <v>463</v>
      </c>
      <c r="U309" s="28"/>
    </row>
    <row r="310" spans="1:21" x14ac:dyDescent="0.2">
      <c r="A310" s="12" t="s">
        <v>427</v>
      </c>
      <c r="B310" s="12"/>
      <c r="C310" s="12">
        <v>9</v>
      </c>
      <c r="D310" s="12">
        <v>5</v>
      </c>
      <c r="E310" s="12">
        <v>14</v>
      </c>
      <c r="F310" s="12">
        <v>18092.4378199577</v>
      </c>
      <c r="G310" s="12">
        <v>8.5774588584899902</v>
      </c>
      <c r="H310" s="12">
        <v>18080.258308887402</v>
      </c>
      <c r="I310" s="12">
        <v>1087.7088675254299</v>
      </c>
      <c r="J310" s="12">
        <v>3.76790237377818E-2</v>
      </c>
      <c r="K310" s="41" t="s">
        <v>470</v>
      </c>
      <c r="M310" s="12">
        <v>18781.494990110299</v>
      </c>
      <c r="N310" s="12">
        <v>5.2978357960000002</v>
      </c>
      <c r="O310" s="12">
        <v>18776.197154314399</v>
      </c>
      <c r="P310" s="12">
        <v>1368.1816111999999</v>
      </c>
      <c r="Q310" s="12">
        <v>1609.301701241</v>
      </c>
      <c r="R310" s="12">
        <v>15802.357817988999</v>
      </c>
      <c r="S310" s="12">
        <v>1112.8818519732999</v>
      </c>
      <c r="T310" s="12" t="s">
        <v>333</v>
      </c>
      <c r="U310" s="28"/>
    </row>
    <row r="311" spans="1:21" x14ac:dyDescent="0.2">
      <c r="A311" s="12" t="s">
        <v>430</v>
      </c>
      <c r="B311" s="12"/>
      <c r="C311" s="12">
        <v>9</v>
      </c>
      <c r="D311" s="12">
        <v>5</v>
      </c>
      <c r="E311" s="12">
        <v>15</v>
      </c>
      <c r="F311" s="12">
        <v>18086.2704470157</v>
      </c>
      <c r="G311" s="12">
        <v>8.6166930198669398</v>
      </c>
      <c r="H311" s="12">
        <v>18073.931324005101</v>
      </c>
      <c r="I311" s="12">
        <v>1115.63990969167</v>
      </c>
      <c r="J311" s="12">
        <v>2.73775122507641E-2</v>
      </c>
      <c r="K311" s="41" t="s">
        <v>470</v>
      </c>
      <c r="M311" s="12">
        <v>14889.3</v>
      </c>
      <c r="N311" s="12">
        <v>5.24</v>
      </c>
      <c r="O311" s="12">
        <v>14884.07</v>
      </c>
      <c r="P311" s="12" t="s">
        <v>333</v>
      </c>
      <c r="Q311" s="12" t="s">
        <v>333</v>
      </c>
      <c r="R311" s="12" t="s">
        <v>333</v>
      </c>
      <c r="S311" s="12">
        <v>1073.06484418382</v>
      </c>
      <c r="T311" s="12" t="s">
        <v>463</v>
      </c>
      <c r="U311" s="28"/>
    </row>
    <row r="312" spans="1:21" x14ac:dyDescent="0.2">
      <c r="A312" s="12" t="s">
        <v>433</v>
      </c>
      <c r="B312" s="12"/>
      <c r="C312" s="12">
        <v>9</v>
      </c>
      <c r="D312" s="12">
        <v>5</v>
      </c>
      <c r="E312" s="12">
        <v>13</v>
      </c>
      <c r="F312" s="12">
        <v>18097.1949021816</v>
      </c>
      <c r="G312" s="12">
        <v>8.5549101829528809</v>
      </c>
      <c r="H312" s="12">
        <v>18085.004595994898</v>
      </c>
      <c r="I312" s="12">
        <v>1077.2243285561799</v>
      </c>
      <c r="J312" s="12">
        <v>1.8492115739278399E-2</v>
      </c>
      <c r="K312" s="41" t="s">
        <v>470</v>
      </c>
      <c r="M312" s="12">
        <v>8515.73</v>
      </c>
      <c r="N312" s="12">
        <v>5.56</v>
      </c>
      <c r="O312" s="12">
        <v>8510.18</v>
      </c>
      <c r="P312" s="12" t="s">
        <v>333</v>
      </c>
      <c r="Q312" s="12" t="s">
        <v>333</v>
      </c>
      <c r="R312" s="12" t="s">
        <v>333</v>
      </c>
      <c r="S312" s="12">
        <v>1337.4505441640299</v>
      </c>
      <c r="T312" s="12" t="s">
        <v>463</v>
      </c>
      <c r="U312" s="28"/>
    </row>
    <row r="313" spans="1:21" x14ac:dyDescent="0.2">
      <c r="A313" s="12" t="s">
        <v>436</v>
      </c>
      <c r="B313" s="12"/>
      <c r="C313" s="12">
        <v>9</v>
      </c>
      <c r="D313" s="12">
        <v>5</v>
      </c>
      <c r="E313" s="12">
        <v>14</v>
      </c>
      <c r="F313" s="12">
        <v>18087.660123109799</v>
      </c>
      <c r="G313" s="12">
        <v>8.60318922996521</v>
      </c>
      <c r="H313" s="12">
        <v>18075.409794092098</v>
      </c>
      <c r="I313" s="12">
        <v>1082.8985745006</v>
      </c>
      <c r="J313" s="12">
        <v>6.0484515066711597E-2</v>
      </c>
      <c r="K313" s="41" t="s">
        <v>470</v>
      </c>
      <c r="M313" s="12">
        <v>3679.89</v>
      </c>
      <c r="N313" s="12">
        <v>5.33</v>
      </c>
      <c r="O313" s="12">
        <v>3674.56</v>
      </c>
      <c r="P313" s="12" t="s">
        <v>333</v>
      </c>
      <c r="Q313" s="12" t="s">
        <v>333</v>
      </c>
      <c r="R313" s="12" t="s">
        <v>333</v>
      </c>
      <c r="S313" s="12">
        <v>1083.34795913157</v>
      </c>
      <c r="T313" s="12" t="s">
        <v>463</v>
      </c>
      <c r="U313" s="28"/>
    </row>
    <row r="314" spans="1:21" x14ac:dyDescent="0.2">
      <c r="A314" s="12" t="s">
        <v>439</v>
      </c>
      <c r="B314" s="12"/>
      <c r="C314" s="12">
        <v>9</v>
      </c>
      <c r="D314" s="12">
        <v>5</v>
      </c>
      <c r="E314" s="12">
        <v>14</v>
      </c>
      <c r="F314" s="12">
        <v>18092.7156710624</v>
      </c>
      <c r="G314" s="12">
        <v>8.6040558815002406</v>
      </c>
      <c r="H314" s="12">
        <v>18080.514008998802</v>
      </c>
      <c r="I314" s="12">
        <v>993.61885613363597</v>
      </c>
      <c r="J314" s="12">
        <v>1.54851814815794E-2</v>
      </c>
      <c r="K314" s="41" t="s">
        <v>470</v>
      </c>
      <c r="M314" s="12">
        <v>1619.19581103324</v>
      </c>
      <c r="N314" s="12">
        <v>6.0474403319999999</v>
      </c>
      <c r="O314" s="12">
        <v>1613.1483707012401</v>
      </c>
      <c r="P314" s="12">
        <v>1359.4895055679999</v>
      </c>
      <c r="Q314" s="12">
        <v>158.30151576</v>
      </c>
      <c r="R314" s="12">
        <v>99.730337426000006</v>
      </c>
      <c r="S314" s="12">
        <v>1052.03267092177</v>
      </c>
      <c r="T314" s="12" t="s">
        <v>333</v>
      </c>
      <c r="U314" s="28"/>
    </row>
    <row r="315" spans="1:21" x14ac:dyDescent="0.2">
      <c r="A315" s="12" t="s">
        <v>442</v>
      </c>
      <c r="B315" s="12"/>
      <c r="C315" s="12">
        <v>9</v>
      </c>
      <c r="D315" s="12">
        <v>5</v>
      </c>
      <c r="E315" s="12">
        <v>14</v>
      </c>
      <c r="F315" s="12">
        <v>4121.2442889213498</v>
      </c>
      <c r="G315" s="12">
        <v>8.63159084320068</v>
      </c>
      <c r="H315" s="12">
        <v>4109.0121729373896</v>
      </c>
      <c r="I315" s="12">
        <v>1052.12027568899</v>
      </c>
      <c r="J315" s="12" t="s">
        <v>333</v>
      </c>
      <c r="K315" s="41" t="s">
        <v>469</v>
      </c>
      <c r="M315" s="12">
        <v>2455.16</v>
      </c>
      <c r="N315" s="12">
        <v>5.26</v>
      </c>
      <c r="O315" s="12">
        <v>2449.89</v>
      </c>
      <c r="P315" s="12" t="s">
        <v>333</v>
      </c>
      <c r="Q315" s="12" t="s">
        <v>333</v>
      </c>
      <c r="R315" s="12" t="s">
        <v>333</v>
      </c>
      <c r="S315" s="12">
        <v>1194.3911621238501</v>
      </c>
      <c r="T315" s="12" t="s">
        <v>463</v>
      </c>
      <c r="U315" s="28"/>
    </row>
    <row r="316" spans="1:21" x14ac:dyDescent="0.2">
      <c r="A316" s="12" t="s">
        <v>445</v>
      </c>
      <c r="B316" s="12"/>
      <c r="C316" s="12">
        <v>9</v>
      </c>
      <c r="D316" s="12">
        <v>5</v>
      </c>
      <c r="E316" s="12">
        <v>14</v>
      </c>
      <c r="F316" s="12">
        <v>18094.159358978199</v>
      </c>
      <c r="G316" s="12">
        <v>8.6103181838989205</v>
      </c>
      <c r="H316" s="12">
        <v>18081.948394060099</v>
      </c>
      <c r="I316" s="12">
        <v>1091.9596133119801</v>
      </c>
      <c r="J316" s="12">
        <v>1.18619219207768E-2</v>
      </c>
      <c r="K316" s="41" t="s">
        <v>470</v>
      </c>
      <c r="M316" s="12">
        <v>11211.5574688911</v>
      </c>
      <c r="N316" s="12">
        <v>6.5436105710000003</v>
      </c>
      <c r="O316" s="12">
        <v>11205.013858320101</v>
      </c>
      <c r="P316" s="12">
        <v>1295.48319274</v>
      </c>
      <c r="Q316" s="12">
        <v>922.42520705999902</v>
      </c>
      <c r="R316" s="12">
        <v>8991.9753924249999</v>
      </c>
      <c r="S316" s="12">
        <v>1078.3023297833799</v>
      </c>
      <c r="T316" s="12" t="s">
        <v>333</v>
      </c>
      <c r="U316" s="28"/>
    </row>
    <row r="317" spans="1:21" x14ac:dyDescent="0.2">
      <c r="A317" s="12" t="s">
        <v>448</v>
      </c>
      <c r="B317" s="12"/>
      <c r="C317" s="12">
        <v>9</v>
      </c>
      <c r="D317" s="12">
        <v>5</v>
      </c>
      <c r="E317" s="12">
        <v>13</v>
      </c>
      <c r="F317" s="12">
        <v>18089.7834758758</v>
      </c>
      <c r="G317" s="12">
        <v>8.5602428913116402</v>
      </c>
      <c r="H317" s="12">
        <v>18077.619525909398</v>
      </c>
      <c r="I317" s="12">
        <v>1079.1994693847801</v>
      </c>
      <c r="J317" s="12">
        <v>1.1342006984102501E-2</v>
      </c>
      <c r="K317" s="41" t="s">
        <v>470</v>
      </c>
      <c r="M317" s="12">
        <v>9518.0833768844604</v>
      </c>
      <c r="N317" s="12">
        <v>5.4347152109999897</v>
      </c>
      <c r="O317" s="12">
        <v>9512.6486616734601</v>
      </c>
      <c r="P317" s="12">
        <v>1493.3051932180001</v>
      </c>
      <c r="Q317" s="12">
        <v>341.60004165499998</v>
      </c>
      <c r="R317" s="12">
        <v>7681.4603438590002</v>
      </c>
      <c r="S317" s="12">
        <v>1113.29364823424</v>
      </c>
      <c r="T317" s="12" t="s">
        <v>333</v>
      </c>
      <c r="U317" s="28"/>
    </row>
    <row r="318" spans="1:21" x14ac:dyDescent="0.2">
      <c r="A318" s="12" t="s">
        <v>451</v>
      </c>
      <c r="B318" s="12"/>
      <c r="C318" s="12">
        <v>9</v>
      </c>
      <c r="D318" s="12">
        <v>5</v>
      </c>
      <c r="E318" s="12">
        <v>15</v>
      </c>
      <c r="F318" s="12">
        <v>18090.0728909969</v>
      </c>
      <c r="G318" s="12">
        <v>8.5412368774413991</v>
      </c>
      <c r="H318" s="12">
        <v>18077.942605018601</v>
      </c>
      <c r="I318" s="12">
        <v>1115.7540783797999</v>
      </c>
      <c r="J318" s="12">
        <v>7.5947428796686797E-3</v>
      </c>
      <c r="K318" s="41" t="s">
        <v>470</v>
      </c>
      <c r="M318" s="12">
        <v>14432.591578960401</v>
      </c>
      <c r="N318" s="12">
        <v>5.5651299789999999</v>
      </c>
      <c r="O318" s="12">
        <v>14427.0264489814</v>
      </c>
      <c r="P318" s="12">
        <v>1389.305780531</v>
      </c>
      <c r="Q318" s="12">
        <v>148.13878118</v>
      </c>
      <c r="R318" s="12">
        <v>12893.484763229</v>
      </c>
      <c r="S318" s="12">
        <v>1050.01475005119</v>
      </c>
      <c r="T318" s="12" t="s">
        <v>333</v>
      </c>
      <c r="U318" s="28"/>
    </row>
    <row r="319" spans="1:21" x14ac:dyDescent="0.2">
      <c r="A319" s="12" t="s">
        <v>452</v>
      </c>
      <c r="B319" s="12"/>
      <c r="C319" s="12">
        <v>9</v>
      </c>
      <c r="D319" s="12">
        <v>5</v>
      </c>
      <c r="E319" s="12">
        <v>14</v>
      </c>
      <c r="F319" s="12">
        <v>11922.9768908023</v>
      </c>
      <c r="G319" s="12">
        <v>9.1395878791808993</v>
      </c>
      <c r="H319" s="12">
        <v>11909.924808979</v>
      </c>
      <c r="I319" s="12">
        <v>1050.01475005119</v>
      </c>
      <c r="J319" s="12" t="s">
        <v>333</v>
      </c>
      <c r="K319" s="41" t="s">
        <v>469</v>
      </c>
      <c r="M319" s="12">
        <v>11922.9768908023</v>
      </c>
      <c r="N319" s="12">
        <v>9.1395878791808993</v>
      </c>
      <c r="O319" s="12">
        <v>11909.924808979</v>
      </c>
      <c r="P319" s="12">
        <v>1050.01475005119</v>
      </c>
      <c r="Q319" s="12" t="s">
        <v>333</v>
      </c>
    </row>
    <row r="320" spans="1:21" s="33" customFormat="1" x14ac:dyDescent="0.2">
      <c r="A320" s="35"/>
      <c r="B320" s="35"/>
      <c r="C320" s="35">
        <v>9</v>
      </c>
      <c r="D320" s="35">
        <v>5</v>
      </c>
      <c r="E320" s="35"/>
      <c r="F320" s="35">
        <f>AVERAGE(F300:F319)</f>
        <v>17090.272710859739</v>
      </c>
      <c r="G320" s="35">
        <f t="shared" ref="G320:Q320" si="22">AVERAGE(G300:G319)</f>
        <v>8.748009490966794</v>
      </c>
      <c r="H320" s="35">
        <f t="shared" si="22"/>
        <v>17077.842504656262</v>
      </c>
      <c r="I320" s="35">
        <f t="shared" si="22"/>
        <v>1079.0696404584962</v>
      </c>
      <c r="J320" s="35"/>
      <c r="K320" s="35"/>
      <c r="L320" s="35"/>
      <c r="M320" s="35">
        <f t="shared" si="22"/>
        <v>8858.7757045321305</v>
      </c>
      <c r="N320" s="35">
        <f t="shared" si="22"/>
        <v>5.6487503189590447</v>
      </c>
      <c r="O320" s="35">
        <f t="shared" si="22"/>
        <v>8852.9328295159703</v>
      </c>
      <c r="P320" s="35">
        <f t="shared" si="22"/>
        <v>1313.875602621021</v>
      </c>
      <c r="Q320" s="35">
        <f t="shared" si="22"/>
        <v>594.22413089674978</v>
      </c>
      <c r="R320" s="35">
        <f>AVERAGE(R300:R319)</f>
        <v>6779.1824171481258</v>
      </c>
      <c r="S320" s="35">
        <f t="shared" ref="S320" si="23">AVERAGE(S300:S319)</f>
        <v>1118.3509864498897</v>
      </c>
    </row>
    <row r="321" spans="1:21" s="33" customFormat="1" x14ac:dyDescent="0.2">
      <c r="J321" s="33" t="s">
        <v>457</v>
      </c>
    </row>
    <row r="322" spans="1:21" x14ac:dyDescent="0.2">
      <c r="A322" s="12" t="s">
        <v>301</v>
      </c>
      <c r="B322" s="12"/>
      <c r="C322" s="11">
        <v>4</v>
      </c>
      <c r="D322" s="11">
        <v>2</v>
      </c>
      <c r="E322" s="11">
        <v>24</v>
      </c>
      <c r="F322" s="12">
        <v>18120.852283000899</v>
      </c>
      <c r="G322" s="12">
        <v>8.6256070137023908</v>
      </c>
      <c r="H322" s="12">
        <v>18108.459537982901</v>
      </c>
      <c r="I322" s="12">
        <v>1515.65495087261</v>
      </c>
      <c r="J322" s="41">
        <v>1.8393239803217099E-2</v>
      </c>
      <c r="K322" s="41" t="s">
        <v>470</v>
      </c>
      <c r="M322" s="11">
        <v>744.67</v>
      </c>
      <c r="N322" s="11">
        <v>5.8</v>
      </c>
      <c r="O322" s="11">
        <v>738.87</v>
      </c>
      <c r="P322" s="11" t="s">
        <v>333</v>
      </c>
      <c r="Q322" s="11" t="s">
        <v>333</v>
      </c>
      <c r="R322" s="11" t="s">
        <v>333</v>
      </c>
      <c r="S322" s="11">
        <v>1621.48585879339</v>
      </c>
      <c r="T322" s="11" t="s">
        <v>463</v>
      </c>
      <c r="U322" s="28"/>
    </row>
    <row r="323" spans="1:21" x14ac:dyDescent="0.2">
      <c r="A323" s="12" t="s">
        <v>342</v>
      </c>
      <c r="B323" s="12"/>
      <c r="C323" s="12">
        <v>4</v>
      </c>
      <c r="D323" s="12">
        <v>2</v>
      </c>
      <c r="E323" s="12">
        <v>24</v>
      </c>
      <c r="F323" s="12">
        <v>18089.719990968701</v>
      </c>
      <c r="G323" s="12">
        <v>8.6163899898528999</v>
      </c>
      <c r="H323" s="12">
        <v>18077.3244020938</v>
      </c>
      <c r="I323" s="12">
        <v>1673.5246571820201</v>
      </c>
      <c r="J323" s="41">
        <v>4.1499032084366602E-2</v>
      </c>
      <c r="K323" s="41" t="s">
        <v>470</v>
      </c>
      <c r="M323" s="12">
        <v>15563.86</v>
      </c>
      <c r="N323" s="12">
        <v>5.69</v>
      </c>
      <c r="O323" s="12">
        <v>15558.16</v>
      </c>
      <c r="P323" s="12" t="s">
        <v>333</v>
      </c>
      <c r="Q323" s="12" t="s">
        <v>333</v>
      </c>
      <c r="R323" s="12" t="s">
        <v>333</v>
      </c>
      <c r="S323" s="12">
        <v>1651.8142226188199</v>
      </c>
      <c r="T323" s="12" t="s">
        <v>463</v>
      </c>
      <c r="U323" s="28"/>
    </row>
    <row r="324" spans="1:21" x14ac:dyDescent="0.2">
      <c r="A324" s="12" t="s">
        <v>307</v>
      </c>
      <c r="B324" s="12"/>
      <c r="C324" s="12">
        <v>4</v>
      </c>
      <c r="D324" s="12">
        <v>2</v>
      </c>
      <c r="E324" s="12">
        <v>23</v>
      </c>
      <c r="F324" s="12">
        <v>18103.504799842802</v>
      </c>
      <c r="G324" s="12">
        <v>8.6454579830169607</v>
      </c>
      <c r="H324" s="12">
        <v>18091.131712913499</v>
      </c>
      <c r="I324" s="12">
        <v>1412.0492783812599</v>
      </c>
      <c r="J324" s="41">
        <v>1.16348812824617E-2</v>
      </c>
      <c r="K324" s="41" t="s">
        <v>470</v>
      </c>
      <c r="M324" s="12">
        <v>17919.153743982301</v>
      </c>
      <c r="N324" s="12">
        <v>5.7958159409999999</v>
      </c>
      <c r="O324" s="12">
        <v>17913.3579280413</v>
      </c>
      <c r="P324" s="12">
        <v>156.598271047</v>
      </c>
      <c r="Q324" s="12">
        <v>50.468043041999998</v>
      </c>
      <c r="R324" s="12">
        <v>17710.606729138999</v>
      </c>
      <c r="S324" s="12">
        <v>1410.24334407014</v>
      </c>
      <c r="T324" s="12" t="s">
        <v>333</v>
      </c>
      <c r="U324" s="28"/>
    </row>
    <row r="325" spans="1:21" x14ac:dyDescent="0.2">
      <c r="A325" s="12" t="s">
        <v>310</v>
      </c>
      <c r="B325" s="12"/>
      <c r="C325" s="12">
        <v>4</v>
      </c>
      <c r="D325" s="12">
        <v>2</v>
      </c>
      <c r="E325" s="12">
        <v>24</v>
      </c>
      <c r="F325" s="12">
        <v>18098.606912136001</v>
      </c>
      <c r="G325" s="12">
        <v>8.6356220245361293</v>
      </c>
      <c r="H325" s="12">
        <v>18086.237718820499</v>
      </c>
      <c r="I325" s="12">
        <v>1617.0824695271699</v>
      </c>
      <c r="J325" s="41">
        <v>1.8213590879039801E-2</v>
      </c>
      <c r="K325" s="41" t="s">
        <v>470</v>
      </c>
      <c r="M325" s="12">
        <v>5572.4443240165701</v>
      </c>
      <c r="N325" s="12">
        <v>5.7984937509999996</v>
      </c>
      <c r="O325" s="12">
        <v>5566.6458302655701</v>
      </c>
      <c r="P325" s="12">
        <v>137.18634838400001</v>
      </c>
      <c r="Q325" s="12">
        <v>31.634915532000001</v>
      </c>
      <c r="R325" s="12">
        <v>5402.1841449969997</v>
      </c>
      <c r="S325" s="12">
        <v>1616.21889535113</v>
      </c>
      <c r="T325" s="12" t="s">
        <v>333</v>
      </c>
      <c r="U325" s="12" t="s">
        <v>464</v>
      </c>
    </row>
    <row r="326" spans="1:21" x14ac:dyDescent="0.2">
      <c r="A326" s="12" t="s">
        <v>311</v>
      </c>
      <c r="B326" s="12"/>
      <c r="C326" s="12">
        <v>4</v>
      </c>
      <c r="D326" s="12">
        <v>2</v>
      </c>
      <c r="E326" s="12">
        <v>23</v>
      </c>
      <c r="F326" s="12">
        <v>18135.4858851432</v>
      </c>
      <c r="G326" s="12">
        <v>8.9263551235198904</v>
      </c>
      <c r="H326" s="12">
        <v>18122.637984991001</v>
      </c>
      <c r="I326" s="12">
        <v>1527.76823576838</v>
      </c>
      <c r="J326" s="41">
        <v>2.0502432462488701E-2</v>
      </c>
      <c r="K326" s="41" t="s">
        <v>470</v>
      </c>
      <c r="M326" s="12">
        <v>824.88</v>
      </c>
      <c r="N326" s="12">
        <v>5.72</v>
      </c>
      <c r="O326" s="12">
        <v>819.16</v>
      </c>
      <c r="P326" s="12" t="s">
        <v>333</v>
      </c>
      <c r="Q326" s="12" t="s">
        <v>333</v>
      </c>
      <c r="R326" s="12" t="s">
        <v>333</v>
      </c>
      <c r="S326" s="12">
        <v>1706.06763590222</v>
      </c>
      <c r="T326" s="12" t="s">
        <v>463</v>
      </c>
      <c r="U326" s="28"/>
    </row>
    <row r="327" spans="1:21" x14ac:dyDescent="0.2">
      <c r="A327" s="12" t="s">
        <v>345</v>
      </c>
      <c r="B327" s="12"/>
      <c r="C327" s="12">
        <v>4</v>
      </c>
      <c r="D327" s="12">
        <v>2</v>
      </c>
      <c r="E327" s="12">
        <v>20</v>
      </c>
      <c r="F327" s="12">
        <v>18100.431604862199</v>
      </c>
      <c r="G327" s="12">
        <v>9.2501850128173793</v>
      </c>
      <c r="H327" s="12">
        <v>18087.1488010883</v>
      </c>
      <c r="I327" s="12">
        <v>1446.15799120217</v>
      </c>
      <c r="J327" s="41">
        <v>8.8031609787116299E-2</v>
      </c>
      <c r="K327" s="41" t="s">
        <v>470</v>
      </c>
      <c r="M327" s="12">
        <v>2209.56</v>
      </c>
      <c r="N327" s="12">
        <v>5.75</v>
      </c>
      <c r="O327" s="12">
        <v>2203.81</v>
      </c>
      <c r="P327" s="12" t="s">
        <v>333</v>
      </c>
      <c r="Q327" s="12" t="s">
        <v>333</v>
      </c>
      <c r="R327" s="12" t="s">
        <v>333</v>
      </c>
      <c r="S327" s="12">
        <v>1670.3381772937501</v>
      </c>
      <c r="T327" s="12" t="s">
        <v>463</v>
      </c>
      <c r="U327" s="28"/>
    </row>
    <row r="328" spans="1:21" x14ac:dyDescent="0.2">
      <c r="A328" s="12" t="s">
        <v>368</v>
      </c>
      <c r="B328" s="12"/>
      <c r="C328" s="12">
        <v>4</v>
      </c>
      <c r="D328" s="12">
        <v>2</v>
      </c>
      <c r="E328" s="12">
        <v>22</v>
      </c>
      <c r="F328" s="12">
        <v>18107.449262142101</v>
      </c>
      <c r="G328" s="12">
        <v>9.2282590866088796</v>
      </c>
      <c r="H328" s="12">
        <v>18094.218405008301</v>
      </c>
      <c r="I328" s="12" t="s">
        <v>453</v>
      </c>
      <c r="J328" s="41" t="s">
        <v>454</v>
      </c>
      <c r="K328" s="41" t="s">
        <v>513</v>
      </c>
      <c r="M328" s="12">
        <v>16433.5686309337</v>
      </c>
      <c r="N328" s="12">
        <v>5.7105377229999998</v>
      </c>
      <c r="O328" s="12">
        <v>16427.8580932107</v>
      </c>
      <c r="P328" s="12">
        <v>168.78734815999999</v>
      </c>
      <c r="Q328" s="12">
        <v>79.824367806999902</v>
      </c>
      <c r="R328" s="12">
        <v>16183.48656725</v>
      </c>
      <c r="S328" s="12">
        <v>1542.68372022463</v>
      </c>
      <c r="T328" s="12" t="s">
        <v>333</v>
      </c>
      <c r="U328" s="28"/>
    </row>
    <row r="329" spans="1:21" x14ac:dyDescent="0.2">
      <c r="A329" s="12" t="s">
        <v>347</v>
      </c>
      <c r="B329" s="12"/>
      <c r="C329" s="12">
        <v>4</v>
      </c>
      <c r="D329" s="12">
        <v>2</v>
      </c>
      <c r="E329" s="12">
        <v>22</v>
      </c>
      <c r="F329" s="12">
        <v>18102.185633897701</v>
      </c>
      <c r="G329" s="12">
        <v>8.9358339309692294</v>
      </c>
      <c r="H329" s="12">
        <v>18089.346467971802</v>
      </c>
      <c r="I329" s="12" t="s">
        <v>453</v>
      </c>
      <c r="J329" s="41" t="s">
        <v>454</v>
      </c>
      <c r="K329" s="41" t="s">
        <v>513</v>
      </c>
      <c r="M329" s="12">
        <v>3599.7628681659698</v>
      </c>
      <c r="N329" s="12">
        <v>5.7042280559999998</v>
      </c>
      <c r="O329" s="12">
        <v>3594.0586401099699</v>
      </c>
      <c r="P329" s="12">
        <v>162.356789341</v>
      </c>
      <c r="Q329" s="12">
        <v>141.042445493</v>
      </c>
      <c r="R329" s="12">
        <v>3294.8861002960002</v>
      </c>
      <c r="S329" s="12">
        <v>1429.31170386231</v>
      </c>
      <c r="T329" s="12" t="s">
        <v>333</v>
      </c>
      <c r="U329" s="12" t="s">
        <v>464</v>
      </c>
    </row>
    <row r="330" spans="1:21" x14ac:dyDescent="0.2">
      <c r="A330" s="12" t="s">
        <v>349</v>
      </c>
      <c r="B330" s="12"/>
      <c r="C330" s="12">
        <v>4</v>
      </c>
      <c r="D330" s="12">
        <v>2</v>
      </c>
      <c r="E330" s="12">
        <v>21</v>
      </c>
      <c r="F330" s="12">
        <v>18108.856997013001</v>
      </c>
      <c r="G330" s="12">
        <v>8.9112207889556796</v>
      </c>
      <c r="H330" s="12">
        <v>18096.0438120365</v>
      </c>
      <c r="I330" s="12" t="s">
        <v>453</v>
      </c>
      <c r="J330" s="41" t="s">
        <v>454</v>
      </c>
      <c r="K330" s="41" t="s">
        <v>513</v>
      </c>
      <c r="M330" s="12">
        <v>2908.05756998062</v>
      </c>
      <c r="N330" s="12">
        <v>5.7078812479999996</v>
      </c>
      <c r="O330" s="12">
        <v>2902.3496887326201</v>
      </c>
      <c r="P330" s="12">
        <v>169.671465748</v>
      </c>
      <c r="Q330" s="12">
        <v>119.80562422</v>
      </c>
      <c r="R330" s="12">
        <v>2617.0846738290002</v>
      </c>
      <c r="S330" s="12">
        <v>1555.79901016944</v>
      </c>
      <c r="T330" s="12" t="s">
        <v>333</v>
      </c>
      <c r="U330" s="12" t="s">
        <v>464</v>
      </c>
    </row>
    <row r="331" spans="1:21" x14ac:dyDescent="0.2">
      <c r="A331" s="12" t="s">
        <v>351</v>
      </c>
      <c r="B331" s="12"/>
      <c r="C331" s="12">
        <v>4</v>
      </c>
      <c r="D331" s="12">
        <v>2</v>
      </c>
      <c r="E331" s="12">
        <v>22</v>
      </c>
      <c r="F331" s="12">
        <v>18113.636203050599</v>
      </c>
      <c r="G331" s="12">
        <v>8.9226720333099294</v>
      </c>
      <c r="H331" s="12">
        <v>18100.818549871401</v>
      </c>
      <c r="I331" s="12">
        <v>1554.3579355004499</v>
      </c>
      <c r="J331" s="41">
        <v>5.6754331029209598E-2</v>
      </c>
      <c r="K331" s="41" t="s">
        <v>470</v>
      </c>
      <c r="M331" s="12">
        <v>1373.25</v>
      </c>
      <c r="N331" s="12">
        <v>5.71</v>
      </c>
      <c r="O331" s="12">
        <v>1367.54</v>
      </c>
      <c r="P331" s="12" t="s">
        <v>333</v>
      </c>
      <c r="Q331" s="12" t="s">
        <v>333</v>
      </c>
      <c r="R331" s="12" t="s">
        <v>333</v>
      </c>
      <c r="S331" s="12">
        <v>1940.1668155841501</v>
      </c>
      <c r="T331" s="12" t="s">
        <v>463</v>
      </c>
      <c r="U331" s="28"/>
    </row>
    <row r="332" spans="1:21" x14ac:dyDescent="0.2">
      <c r="A332" s="12" t="s">
        <v>354</v>
      </c>
      <c r="B332" s="12"/>
      <c r="C332" s="12">
        <v>4</v>
      </c>
      <c r="D332" s="12">
        <v>2</v>
      </c>
      <c r="E332" s="12">
        <v>24</v>
      </c>
      <c r="F332" s="12">
        <v>18107.771520852999</v>
      </c>
      <c r="G332" s="12">
        <v>8.6290769577026296</v>
      </c>
      <c r="H332" s="12">
        <v>18095.367311000799</v>
      </c>
      <c r="I332" s="12">
        <v>1518.8205279548299</v>
      </c>
      <c r="J332" s="41">
        <v>3.0392176762043401E-2</v>
      </c>
      <c r="K332" s="41" t="s">
        <v>470</v>
      </c>
      <c r="M332" s="12">
        <v>21036.46</v>
      </c>
      <c r="N332" s="12">
        <v>5.69</v>
      </c>
      <c r="O332" s="12">
        <v>21030.76</v>
      </c>
      <c r="P332" s="12" t="s">
        <v>333</v>
      </c>
      <c r="Q332" s="12" t="s">
        <v>333</v>
      </c>
      <c r="R332" s="12" t="s">
        <v>333</v>
      </c>
      <c r="S332" s="12">
        <v>1503.1374763819299</v>
      </c>
      <c r="T332" s="12" t="s">
        <v>463</v>
      </c>
      <c r="U332" s="28"/>
    </row>
    <row r="333" spans="1:21" x14ac:dyDescent="0.2">
      <c r="A333" s="12" t="s">
        <v>319</v>
      </c>
      <c r="B333" s="12"/>
      <c r="C333" s="12">
        <v>4</v>
      </c>
      <c r="D333" s="12">
        <v>2</v>
      </c>
      <c r="E333" s="12">
        <v>22</v>
      </c>
      <c r="F333" s="12">
        <v>18099.784287214199</v>
      </c>
      <c r="G333" s="12">
        <v>8.9252960681915194</v>
      </c>
      <c r="H333" s="12">
        <v>18086.948734998699</v>
      </c>
      <c r="I333" s="12" t="s">
        <v>453</v>
      </c>
      <c r="J333" s="41" t="s">
        <v>454</v>
      </c>
      <c r="K333" s="41" t="s">
        <v>513</v>
      </c>
      <c r="M333" s="12">
        <v>4957.5</v>
      </c>
      <c r="N333" s="12">
        <v>5.7</v>
      </c>
      <c r="O333" s="12">
        <v>4951.8</v>
      </c>
      <c r="P333" s="12" t="s">
        <v>333</v>
      </c>
      <c r="Q333" s="12" t="s">
        <v>333</v>
      </c>
      <c r="R333" s="12" t="s">
        <v>333</v>
      </c>
      <c r="S333" s="12">
        <v>1650.1659572589499</v>
      </c>
      <c r="T333" s="12" t="s">
        <v>463</v>
      </c>
      <c r="U333" s="28"/>
    </row>
    <row r="334" spans="1:21" x14ac:dyDescent="0.2">
      <c r="A334" s="12" t="s">
        <v>356</v>
      </c>
      <c r="B334" s="12"/>
      <c r="C334" s="12">
        <v>4</v>
      </c>
      <c r="D334" s="12">
        <v>2</v>
      </c>
      <c r="E334" s="12">
        <v>23</v>
      </c>
      <c r="F334" s="12">
        <v>18120.424179077101</v>
      </c>
      <c r="G334" s="12">
        <v>8.9589979648589999</v>
      </c>
      <c r="H334" s="12">
        <v>18107.537627935399</v>
      </c>
      <c r="I334" s="12" t="s">
        <v>453</v>
      </c>
      <c r="J334" s="41" t="s">
        <v>454</v>
      </c>
      <c r="K334" s="41" t="s">
        <v>513</v>
      </c>
      <c r="M334" s="12">
        <v>20447.5877871513</v>
      </c>
      <c r="N334" s="12">
        <v>5.6572611950000002</v>
      </c>
      <c r="O334" s="12">
        <v>20441.930525956301</v>
      </c>
      <c r="P334" s="12">
        <v>166.77096523899999</v>
      </c>
      <c r="Q334" s="12">
        <v>277.83694813199997</v>
      </c>
      <c r="R334" s="12">
        <v>20001.422875747001</v>
      </c>
      <c r="S334" s="12">
        <v>1409.1835087439299</v>
      </c>
      <c r="T334" s="12" t="s">
        <v>333</v>
      </c>
      <c r="U334" s="28"/>
    </row>
    <row r="335" spans="1:21" x14ac:dyDescent="0.2">
      <c r="A335" s="12" t="s">
        <v>359</v>
      </c>
      <c r="B335" s="12"/>
      <c r="C335" s="12">
        <v>4</v>
      </c>
      <c r="D335" s="12">
        <v>2</v>
      </c>
      <c r="E335" s="12">
        <v>23</v>
      </c>
      <c r="F335" s="12">
        <v>18119.425948143002</v>
      </c>
      <c r="G335" s="12">
        <v>8.9178121089935303</v>
      </c>
      <c r="H335" s="12">
        <v>18106.588567018502</v>
      </c>
      <c r="I335" s="12">
        <v>1588.04735635319</v>
      </c>
      <c r="J335" s="41">
        <v>5.4242808012118698E-2</v>
      </c>
      <c r="K335" s="41" t="s">
        <v>470</v>
      </c>
      <c r="M335" s="12">
        <v>20036.408051967599</v>
      </c>
      <c r="N335" s="12">
        <v>5.6213437209999997</v>
      </c>
      <c r="O335" s="12">
        <v>20030.7867082466</v>
      </c>
      <c r="P335" s="12">
        <v>123.09084332099999</v>
      </c>
      <c r="Q335" s="12">
        <v>2223.717218577</v>
      </c>
      <c r="R335" s="12">
        <v>17688.144469203999</v>
      </c>
      <c r="S335" s="12">
        <v>1556.50718467146</v>
      </c>
      <c r="T335" s="12" t="s">
        <v>333</v>
      </c>
      <c r="U335" s="28"/>
    </row>
    <row r="336" spans="1:21" x14ac:dyDescent="0.2">
      <c r="A336" s="12" t="s">
        <v>362</v>
      </c>
      <c r="B336" s="12"/>
      <c r="C336" s="12">
        <v>4</v>
      </c>
      <c r="D336" s="12">
        <v>2</v>
      </c>
      <c r="E336" s="12">
        <v>23</v>
      </c>
      <c r="F336" s="12">
        <v>18117.777481079102</v>
      </c>
      <c r="G336" s="12">
        <v>8.6087410449981601</v>
      </c>
      <c r="H336" s="12">
        <v>18105.388602018302</v>
      </c>
      <c r="I336" s="12" t="s">
        <v>453</v>
      </c>
      <c r="J336" s="41" t="s">
        <v>454</v>
      </c>
      <c r="K336" s="41" t="s">
        <v>513</v>
      </c>
      <c r="M336" s="12">
        <v>1261.17</v>
      </c>
      <c r="N336" s="12">
        <v>5.7</v>
      </c>
      <c r="O336" s="12">
        <v>1255.48</v>
      </c>
      <c r="P336" s="12" t="s">
        <v>333</v>
      </c>
      <c r="Q336" s="12" t="s">
        <v>333</v>
      </c>
      <c r="R336" s="12" t="s">
        <v>333</v>
      </c>
      <c r="S336" s="12">
        <v>1890.7883483856699</v>
      </c>
      <c r="T336" s="12" t="s">
        <v>463</v>
      </c>
      <c r="U336" s="28"/>
    </row>
    <row r="337" spans="1:21" x14ac:dyDescent="0.2">
      <c r="A337" s="12" t="s">
        <v>321</v>
      </c>
      <c r="B337" s="12"/>
      <c r="C337" s="12">
        <v>4</v>
      </c>
      <c r="D337" s="12">
        <v>2</v>
      </c>
      <c r="E337" s="12">
        <v>23</v>
      </c>
      <c r="F337" s="12">
        <v>18092.305726051301</v>
      </c>
      <c r="G337" s="12">
        <v>8.5599820613860995</v>
      </c>
      <c r="H337" s="12">
        <v>18079.955645084301</v>
      </c>
      <c r="I337" s="12">
        <v>1473.7883739779099</v>
      </c>
      <c r="J337" s="41">
        <v>1.2189215935132501E-2</v>
      </c>
      <c r="K337" s="41" t="s">
        <v>470</v>
      </c>
      <c r="M337" s="12">
        <v>380.51</v>
      </c>
      <c r="N337" s="12">
        <v>5.68</v>
      </c>
      <c r="O337" s="12">
        <v>374.83</v>
      </c>
      <c r="P337" s="12" t="s">
        <v>333</v>
      </c>
      <c r="Q337" s="12" t="s">
        <v>333</v>
      </c>
      <c r="R337" s="12" t="s">
        <v>333</v>
      </c>
      <c r="S337" s="12">
        <v>1504.9453328925499</v>
      </c>
      <c r="T337" s="12" t="s">
        <v>463</v>
      </c>
      <c r="U337" s="28"/>
    </row>
    <row r="338" spans="1:21" x14ac:dyDescent="0.2">
      <c r="A338" s="12" t="s">
        <v>365</v>
      </c>
      <c r="B338" s="12"/>
      <c r="C338" s="12">
        <v>4</v>
      </c>
      <c r="D338" s="12">
        <v>2</v>
      </c>
      <c r="E338" s="12">
        <v>24</v>
      </c>
      <c r="F338" s="12">
        <v>18095.413469076098</v>
      </c>
      <c r="G338" s="12">
        <v>8.6328558921813894</v>
      </c>
      <c r="H338" s="12">
        <v>18083.018872976299</v>
      </c>
      <c r="I338" s="12">
        <v>1654.60793880446</v>
      </c>
      <c r="J338" s="41">
        <v>3.75697361148397E-2</v>
      </c>
      <c r="K338" s="41" t="s">
        <v>470</v>
      </c>
      <c r="M338" s="12">
        <v>375.04</v>
      </c>
      <c r="N338" s="12">
        <v>5.69</v>
      </c>
      <c r="O338" s="12">
        <v>369.35</v>
      </c>
      <c r="P338" s="12" t="s">
        <v>333</v>
      </c>
      <c r="Q338" s="12" t="s">
        <v>333</v>
      </c>
      <c r="R338" s="12" t="s">
        <v>333</v>
      </c>
      <c r="S338" s="12">
        <v>1676.2731510226999</v>
      </c>
      <c r="T338" s="12" t="s">
        <v>463</v>
      </c>
      <c r="U338" s="28"/>
    </row>
    <row r="339" spans="1:21" x14ac:dyDescent="0.2">
      <c r="A339" s="12" t="s">
        <v>326</v>
      </c>
      <c r="B339" s="12"/>
      <c r="C339" s="12">
        <v>4</v>
      </c>
      <c r="D339" s="12">
        <v>2</v>
      </c>
      <c r="E339" s="12">
        <v>22</v>
      </c>
      <c r="F339" s="12">
        <v>18095.517929077101</v>
      </c>
      <c r="G339" s="12">
        <v>8.63464307785034</v>
      </c>
      <c r="H339" s="12">
        <v>18083.119947910302</v>
      </c>
      <c r="I339" s="12">
        <v>1375.1639897571499</v>
      </c>
      <c r="J339" s="41">
        <v>1.5233130902643799E-2</v>
      </c>
      <c r="K339" s="41" t="s">
        <v>470</v>
      </c>
      <c r="M339" s="12">
        <v>4800.0151960849698</v>
      </c>
      <c r="N339" s="12">
        <v>5.7193019229999997</v>
      </c>
      <c r="O339" s="12">
        <v>4794.29589416197</v>
      </c>
      <c r="P339" s="12">
        <v>133.87057098099999</v>
      </c>
      <c r="Q339" s="12">
        <v>76.661829647999994</v>
      </c>
      <c r="R339" s="12">
        <v>4587.870766391</v>
      </c>
      <c r="S339" s="12">
        <v>1370.40971118581</v>
      </c>
      <c r="T339" s="12" t="s">
        <v>333</v>
      </c>
      <c r="U339" s="12" t="s">
        <v>464</v>
      </c>
    </row>
    <row r="340" spans="1:21" x14ac:dyDescent="0.2">
      <c r="A340" s="12" t="s">
        <v>329</v>
      </c>
      <c r="B340" s="12"/>
      <c r="C340" s="12">
        <v>4</v>
      </c>
      <c r="D340" s="12">
        <v>2</v>
      </c>
      <c r="E340" s="12">
        <v>22</v>
      </c>
      <c r="F340" s="12">
        <v>18089.391759157101</v>
      </c>
      <c r="G340" s="12">
        <v>8.6569731235504097</v>
      </c>
      <c r="H340" s="12">
        <v>18076.9434731006</v>
      </c>
      <c r="I340" s="12">
        <v>1569.7923470401199</v>
      </c>
      <c r="J340" s="41">
        <v>3.3688201363574401E-2</v>
      </c>
      <c r="K340" s="41" t="s">
        <v>470</v>
      </c>
      <c r="M340" s="12">
        <v>20772.89</v>
      </c>
      <c r="N340" s="12">
        <v>5.67</v>
      </c>
      <c r="O340" s="12">
        <v>20767.22</v>
      </c>
      <c r="P340" s="12" t="s">
        <v>333</v>
      </c>
      <c r="Q340" s="12" t="s">
        <v>333</v>
      </c>
      <c r="R340" s="12" t="s">
        <v>333</v>
      </c>
      <c r="S340" s="12">
        <v>1558.0616647346601</v>
      </c>
      <c r="T340" s="12" t="s">
        <v>463</v>
      </c>
      <c r="U340" s="28"/>
    </row>
    <row r="341" spans="1:21" x14ac:dyDescent="0.2">
      <c r="A341" s="12" t="s">
        <v>331</v>
      </c>
      <c r="B341" s="12"/>
      <c r="C341" s="12">
        <v>4</v>
      </c>
      <c r="D341" s="12">
        <v>2</v>
      </c>
      <c r="E341" s="12">
        <v>23</v>
      </c>
      <c r="F341" s="12">
        <v>18101.457800865101</v>
      </c>
      <c r="G341" s="12">
        <v>8.6205279827117902</v>
      </c>
      <c r="H341" s="12">
        <v>18089.013921975999</v>
      </c>
      <c r="I341" s="12">
        <v>1548.0436398243401</v>
      </c>
      <c r="J341" s="41">
        <v>2.0504026640812401E-2</v>
      </c>
      <c r="K341" s="41" t="s">
        <v>470</v>
      </c>
      <c r="M341" s="12">
        <v>568.84</v>
      </c>
      <c r="N341" s="12">
        <v>5.62</v>
      </c>
      <c r="O341" s="12">
        <v>563.22</v>
      </c>
      <c r="P341" s="12" t="s">
        <v>333</v>
      </c>
      <c r="Q341" s="12" t="s">
        <v>333</v>
      </c>
      <c r="R341" s="12" t="s">
        <v>333</v>
      </c>
      <c r="S341" s="12">
        <v>1686.0169408312499</v>
      </c>
      <c r="T341" s="12" t="s">
        <v>463</v>
      </c>
      <c r="U341" s="28"/>
    </row>
    <row r="342" spans="1:21" s="33" customForma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43"/>
      <c r="K342" s="43"/>
      <c r="M342" s="35"/>
      <c r="P342" s="44"/>
      <c r="S342" s="35"/>
      <c r="T342" s="35"/>
      <c r="U342" s="44"/>
    </row>
    <row r="343" spans="1:21" x14ac:dyDescent="0.2">
      <c r="A343" s="12" t="s">
        <v>303</v>
      </c>
      <c r="B343" s="12"/>
      <c r="C343" s="12">
        <v>7</v>
      </c>
      <c r="D343" s="12">
        <v>4</v>
      </c>
      <c r="E343" s="12">
        <v>19</v>
      </c>
      <c r="F343" s="12">
        <v>18116.067315816799</v>
      </c>
      <c r="G343" s="12">
        <v>8.9657139778137207</v>
      </c>
      <c r="H343" s="12">
        <v>18103.157053232098</v>
      </c>
      <c r="I343" s="12">
        <v>1295.0570357398999</v>
      </c>
      <c r="J343" s="41">
        <v>2.6562197120207801E-2</v>
      </c>
      <c r="K343" s="41" t="s">
        <v>470</v>
      </c>
      <c r="M343" s="11">
        <v>4621.07</v>
      </c>
      <c r="N343" s="11">
        <v>5.56</v>
      </c>
      <c r="O343" s="11">
        <v>4615.5200000000004</v>
      </c>
      <c r="P343" s="11" t="s">
        <v>333</v>
      </c>
      <c r="Q343" s="11" t="s">
        <v>333</v>
      </c>
      <c r="R343" s="11" t="s">
        <v>333</v>
      </c>
      <c r="S343" s="11">
        <v>1447.4136305580801</v>
      </c>
      <c r="T343" s="11" t="s">
        <v>463</v>
      </c>
      <c r="U343" s="28" t="s">
        <v>470</v>
      </c>
    </row>
    <row r="344" spans="1:21" x14ac:dyDescent="0.2">
      <c r="A344" s="12" t="s">
        <v>305</v>
      </c>
      <c r="B344" s="12"/>
      <c r="C344" s="12">
        <v>7</v>
      </c>
      <c r="D344" s="12">
        <v>4</v>
      </c>
      <c r="E344" s="12">
        <v>19</v>
      </c>
      <c r="F344" s="12">
        <v>18099.685709953301</v>
      </c>
      <c r="G344" s="12">
        <v>8.5891988277435303</v>
      </c>
      <c r="H344" s="12">
        <v>18087.313011884598</v>
      </c>
      <c r="I344" s="12">
        <v>1221.1971682133101</v>
      </c>
      <c r="J344" s="41">
        <v>1.68125592497201E-2</v>
      </c>
      <c r="K344" s="41" t="s">
        <v>470</v>
      </c>
      <c r="M344" s="12">
        <v>3253.48</v>
      </c>
      <c r="N344" s="12">
        <v>5.31</v>
      </c>
      <c r="O344" s="12">
        <v>3248.18</v>
      </c>
      <c r="P344" s="12" t="s">
        <v>333</v>
      </c>
      <c r="Q344" s="12" t="s">
        <v>333</v>
      </c>
      <c r="R344" s="12" t="s">
        <v>333</v>
      </c>
      <c r="S344" s="12">
        <v>1351.38861884122</v>
      </c>
      <c r="T344" s="12" t="s">
        <v>463</v>
      </c>
      <c r="U344" s="28" t="s">
        <v>470</v>
      </c>
    </row>
    <row r="345" spans="1:21" x14ac:dyDescent="0.2">
      <c r="A345" s="12" t="s">
        <v>308</v>
      </c>
      <c r="B345" s="12"/>
      <c r="C345" s="12">
        <v>7</v>
      </c>
      <c r="D345" s="12">
        <v>4</v>
      </c>
      <c r="E345" s="12">
        <v>18</v>
      </c>
      <c r="F345" s="12">
        <v>18108.781451225201</v>
      </c>
      <c r="G345" s="12">
        <v>8.6242871284484792</v>
      </c>
      <c r="H345" s="12">
        <v>18096.415920972799</v>
      </c>
      <c r="I345" s="12">
        <v>1159.7929812698001</v>
      </c>
      <c r="J345" s="41">
        <v>2.6342966872660401E-2</v>
      </c>
      <c r="K345" s="41" t="s">
        <v>470</v>
      </c>
      <c r="M345" s="12">
        <v>3712.33</v>
      </c>
      <c r="N345" s="12">
        <v>5.31</v>
      </c>
      <c r="O345" s="12">
        <v>3707.02</v>
      </c>
      <c r="P345" s="12" t="s">
        <v>333</v>
      </c>
      <c r="Q345" s="12" t="s">
        <v>333</v>
      </c>
      <c r="R345" s="12" t="s">
        <v>333</v>
      </c>
      <c r="S345" s="12">
        <v>1290.9300301174101</v>
      </c>
      <c r="T345" s="12" t="s">
        <v>463</v>
      </c>
      <c r="U345" s="28" t="s">
        <v>470</v>
      </c>
    </row>
    <row r="346" spans="1:21" x14ac:dyDescent="0.2">
      <c r="A346" s="12" t="s">
        <v>343</v>
      </c>
      <c r="B346" s="12"/>
      <c r="C346" s="12">
        <v>7</v>
      </c>
      <c r="D346" s="12">
        <v>4</v>
      </c>
      <c r="E346" s="12">
        <v>20</v>
      </c>
      <c r="F346" s="12">
        <v>18113.898733139002</v>
      </c>
      <c r="G346" s="12">
        <v>8.6517560482025093</v>
      </c>
      <c r="H346" s="12">
        <v>18101.482788085901</v>
      </c>
      <c r="I346" s="12">
        <v>1224.45771448497</v>
      </c>
      <c r="J346" s="41">
        <v>1.48701689853812E-2</v>
      </c>
      <c r="K346" s="41" t="s">
        <v>470</v>
      </c>
      <c r="M346" s="12">
        <v>16287.33</v>
      </c>
      <c r="N346" s="12">
        <v>5.33</v>
      </c>
      <c r="O346" s="12">
        <v>16282</v>
      </c>
      <c r="P346" s="12" t="s">
        <v>333</v>
      </c>
      <c r="Q346" s="12" t="s">
        <v>333</v>
      </c>
      <c r="R346" s="12" t="s">
        <v>333</v>
      </c>
      <c r="S346" s="12">
        <v>1222.24462546678</v>
      </c>
      <c r="T346" s="12" t="s">
        <v>463</v>
      </c>
      <c r="U346" s="28" t="s">
        <v>470</v>
      </c>
    </row>
    <row r="347" spans="1:21" x14ac:dyDescent="0.2">
      <c r="A347" s="12" t="s">
        <v>312</v>
      </c>
      <c r="B347" s="12"/>
      <c r="C347" s="12">
        <v>7</v>
      </c>
      <c r="D347" s="12">
        <v>4</v>
      </c>
      <c r="E347" s="12">
        <v>19</v>
      </c>
      <c r="F347" s="12">
        <v>18085.803107023199</v>
      </c>
      <c r="G347" s="12">
        <v>8.70322489738464</v>
      </c>
      <c r="H347" s="12">
        <v>18073.2564668655</v>
      </c>
      <c r="I347" s="12" t="s">
        <v>453</v>
      </c>
      <c r="J347" s="41" t="s">
        <v>454</v>
      </c>
      <c r="K347" s="41" t="s">
        <v>513</v>
      </c>
      <c r="M347" s="12">
        <v>7069.27</v>
      </c>
      <c r="N347" s="12">
        <v>5.66</v>
      </c>
      <c r="O347" s="12">
        <v>7063.61</v>
      </c>
      <c r="P347" s="12" t="s">
        <v>333</v>
      </c>
      <c r="Q347" s="12" t="s">
        <v>333</v>
      </c>
      <c r="R347" s="12" t="s">
        <v>333</v>
      </c>
      <c r="S347" s="12">
        <v>1399.7668659440101</v>
      </c>
      <c r="T347" s="12" t="s">
        <v>463</v>
      </c>
      <c r="U347" s="28" t="s">
        <v>470</v>
      </c>
    </row>
    <row r="348" spans="1:21" x14ac:dyDescent="0.2">
      <c r="A348" s="12" t="s">
        <v>314</v>
      </c>
      <c r="B348" s="12"/>
      <c r="C348" s="12">
        <v>7</v>
      </c>
      <c r="D348" s="12">
        <v>4</v>
      </c>
      <c r="E348" s="12">
        <v>19</v>
      </c>
      <c r="F348" s="12">
        <v>18114.638758897701</v>
      </c>
      <c r="G348" s="12">
        <v>9.4515860080718994</v>
      </c>
      <c r="H348" s="12">
        <v>18100.9784271717</v>
      </c>
      <c r="I348" s="12">
        <v>1326.9205304228799</v>
      </c>
      <c r="J348" s="41">
        <v>5.5393794319610098E-2</v>
      </c>
      <c r="K348" s="41" t="s">
        <v>470</v>
      </c>
      <c r="M348" s="12">
        <v>10657.71</v>
      </c>
      <c r="N348" s="12">
        <v>5.9</v>
      </c>
      <c r="O348" s="12">
        <v>10651.81</v>
      </c>
      <c r="P348" s="12" t="s">
        <v>333</v>
      </c>
      <c r="Q348" s="12" t="s">
        <v>333</v>
      </c>
      <c r="R348" s="12" t="s">
        <v>333</v>
      </c>
      <c r="S348" s="12">
        <v>1305.9726997693199</v>
      </c>
      <c r="T348" s="12" t="s">
        <v>463</v>
      </c>
      <c r="U348" s="28" t="s">
        <v>470</v>
      </c>
    </row>
    <row r="349" spans="1:21" x14ac:dyDescent="0.2">
      <c r="A349" s="12" t="s">
        <v>369</v>
      </c>
      <c r="B349" s="12"/>
      <c r="C349" s="12">
        <v>7</v>
      </c>
      <c r="D349" s="12">
        <v>4</v>
      </c>
      <c r="E349" s="12">
        <v>18</v>
      </c>
      <c r="F349" s="12">
        <v>18111.303483963002</v>
      </c>
      <c r="G349" s="12">
        <v>8.7274367809295601</v>
      </c>
      <c r="H349" s="12">
        <v>18098.770021915399</v>
      </c>
      <c r="I349" s="12">
        <v>1221.1520491661799</v>
      </c>
      <c r="J349" s="41">
        <v>4.53627795741244E-2</v>
      </c>
      <c r="K349" s="41" t="s">
        <v>470</v>
      </c>
      <c r="M349" s="12">
        <v>4749.03</v>
      </c>
      <c r="N349" s="12">
        <v>5.28</v>
      </c>
      <c r="O349" s="12">
        <v>4743.75</v>
      </c>
      <c r="P349" s="12" t="s">
        <v>333</v>
      </c>
      <c r="Q349" s="12" t="s">
        <v>333</v>
      </c>
      <c r="R349" s="12" t="s">
        <v>333</v>
      </c>
      <c r="S349" s="12">
        <v>1590.4647091294</v>
      </c>
      <c r="T349" s="12" t="s">
        <v>463</v>
      </c>
      <c r="U349" s="28" t="s">
        <v>470</v>
      </c>
    </row>
    <row r="350" spans="1:21" x14ac:dyDescent="0.2">
      <c r="A350" s="12" t="s">
        <v>348</v>
      </c>
      <c r="B350" s="12"/>
      <c r="C350" s="12">
        <v>7</v>
      </c>
      <c r="D350" s="12">
        <v>4</v>
      </c>
      <c r="E350" s="12">
        <v>18</v>
      </c>
      <c r="F350" s="12">
        <v>18117.1692879199</v>
      </c>
      <c r="G350" s="12">
        <v>8.96726202964782</v>
      </c>
      <c r="H350" s="12">
        <v>18104.289582014</v>
      </c>
      <c r="I350" s="12">
        <v>1219.59173719828</v>
      </c>
      <c r="J350" s="41">
        <v>5.3996469076930002E-2</v>
      </c>
      <c r="K350" s="41" t="s">
        <v>470</v>
      </c>
      <c r="M350" s="12">
        <v>4482.53</v>
      </c>
      <c r="N350" s="12">
        <v>5.33</v>
      </c>
      <c r="O350" s="12">
        <v>4477.1899999999996</v>
      </c>
      <c r="P350" s="12" t="s">
        <v>333</v>
      </c>
      <c r="Q350" s="12" t="s">
        <v>333</v>
      </c>
      <c r="R350" s="12" t="s">
        <v>333</v>
      </c>
      <c r="S350" s="12">
        <v>1246.32382272275</v>
      </c>
      <c r="T350" s="12" t="s">
        <v>463</v>
      </c>
      <c r="U350" s="28" t="s">
        <v>470</v>
      </c>
    </row>
    <row r="351" spans="1:21" x14ac:dyDescent="0.2">
      <c r="A351" s="12" t="s">
        <v>316</v>
      </c>
      <c r="B351" s="12"/>
      <c r="C351" s="12">
        <v>7</v>
      </c>
      <c r="D351" s="12">
        <v>4</v>
      </c>
      <c r="E351" s="12">
        <v>20</v>
      </c>
      <c r="F351" s="12">
        <v>18120.354377031301</v>
      </c>
      <c r="G351" s="12">
        <v>8.9807419776916504</v>
      </c>
      <c r="H351" s="12">
        <v>18107.448801994298</v>
      </c>
      <c r="I351" s="12">
        <v>1313.1071781163</v>
      </c>
      <c r="J351" s="41">
        <v>7.32986170179354E-2</v>
      </c>
      <c r="K351" s="41" t="s">
        <v>470</v>
      </c>
      <c r="M351" s="12">
        <v>6134.99</v>
      </c>
      <c r="N351" s="12">
        <v>5.38</v>
      </c>
      <c r="O351" s="12">
        <v>6129.61</v>
      </c>
      <c r="P351" s="12" t="s">
        <v>333</v>
      </c>
      <c r="Q351" s="12" t="s">
        <v>333</v>
      </c>
      <c r="R351" s="12" t="s">
        <v>333</v>
      </c>
      <c r="S351" s="12">
        <v>1355.2886722457899</v>
      </c>
      <c r="T351" s="12" t="s">
        <v>463</v>
      </c>
      <c r="U351" s="28" t="s">
        <v>470</v>
      </c>
    </row>
    <row r="352" spans="1:21" x14ac:dyDescent="0.2">
      <c r="A352" s="12" t="s">
        <v>352</v>
      </c>
      <c r="B352" s="12"/>
      <c r="C352" s="12">
        <v>7</v>
      </c>
      <c r="D352" s="12">
        <v>4</v>
      </c>
      <c r="E352" s="12">
        <v>20</v>
      </c>
      <c r="F352" s="12">
        <v>18132.928090095498</v>
      </c>
      <c r="G352" s="12">
        <v>8.9322791099548304</v>
      </c>
      <c r="H352" s="12">
        <v>18120.0860249996</v>
      </c>
      <c r="I352" s="12">
        <v>1321.8286893049701</v>
      </c>
      <c r="J352" s="41">
        <v>5.9763760960492497E-2</v>
      </c>
      <c r="K352" s="41" t="s">
        <v>470</v>
      </c>
      <c r="M352" s="12">
        <v>8055.79</v>
      </c>
      <c r="N352" s="12">
        <v>5.62</v>
      </c>
      <c r="O352" s="12">
        <v>8050.17</v>
      </c>
      <c r="P352" s="12" t="s">
        <v>333</v>
      </c>
      <c r="Q352" s="12" t="s">
        <v>333</v>
      </c>
      <c r="R352" s="12" t="s">
        <v>333</v>
      </c>
      <c r="S352" s="12">
        <v>1421.10582666659</v>
      </c>
      <c r="T352" s="12" t="s">
        <v>463</v>
      </c>
      <c r="U352" s="28" t="s">
        <v>470</v>
      </c>
    </row>
    <row r="353" spans="1:21" x14ac:dyDescent="0.2">
      <c r="A353" s="12" t="s">
        <v>317</v>
      </c>
      <c r="B353" s="12"/>
      <c r="C353" s="12">
        <v>7</v>
      </c>
      <c r="D353" s="12">
        <v>4</v>
      </c>
      <c r="E353" s="12">
        <v>20</v>
      </c>
      <c r="F353" s="12">
        <v>18090.085736036301</v>
      </c>
      <c r="G353" s="12">
        <v>8.6194760799407906</v>
      </c>
      <c r="H353" s="12">
        <v>18077.688073873502</v>
      </c>
      <c r="I353" s="12">
        <v>1272.59737716979</v>
      </c>
      <c r="J353" s="41">
        <v>6.6103397666634006E-2</v>
      </c>
      <c r="K353" s="41" t="s">
        <v>470</v>
      </c>
      <c r="M353" s="12">
        <v>6353.84</v>
      </c>
      <c r="N353" s="12">
        <v>5.77</v>
      </c>
      <c r="O353" s="12">
        <v>6348.07</v>
      </c>
      <c r="P353" s="12" t="s">
        <v>333</v>
      </c>
      <c r="Q353" s="12" t="s">
        <v>333</v>
      </c>
      <c r="R353" s="12" t="s">
        <v>333</v>
      </c>
      <c r="S353" s="12">
        <v>1431.0947024041</v>
      </c>
      <c r="T353" s="12" t="s">
        <v>463</v>
      </c>
      <c r="U353" s="28" t="s">
        <v>470</v>
      </c>
    </row>
    <row r="354" spans="1:21" x14ac:dyDescent="0.2">
      <c r="A354" s="12" t="s">
        <v>320</v>
      </c>
      <c r="B354" s="12"/>
      <c r="C354" s="12">
        <v>7</v>
      </c>
      <c r="D354" s="12">
        <v>4</v>
      </c>
      <c r="E354" s="12">
        <v>19</v>
      </c>
      <c r="F354" s="12">
        <v>18104.943264961199</v>
      </c>
      <c r="G354" s="12">
        <v>8.9411509037017805</v>
      </c>
      <c r="H354" s="12">
        <v>18092.0837609767</v>
      </c>
      <c r="I354" s="12">
        <v>1195.9829035171399</v>
      </c>
      <c r="J354" s="41">
        <v>3.4502120542672099E-2</v>
      </c>
      <c r="K354" s="41" t="s">
        <v>470</v>
      </c>
      <c r="M354" s="12">
        <v>5369.27</v>
      </c>
      <c r="N354" s="12">
        <v>5.79</v>
      </c>
      <c r="O354" s="12">
        <v>5363.47</v>
      </c>
      <c r="P354" s="12" t="s">
        <v>333</v>
      </c>
      <c r="Q354" s="12" t="s">
        <v>333</v>
      </c>
      <c r="R354" s="12" t="s">
        <v>333</v>
      </c>
      <c r="S354" s="12">
        <v>1290.1389930892301</v>
      </c>
      <c r="T354" s="12" t="s">
        <v>463</v>
      </c>
      <c r="U354" s="28" t="s">
        <v>470</v>
      </c>
    </row>
    <row r="355" spans="1:21" x14ac:dyDescent="0.2">
      <c r="A355" s="12" t="s">
        <v>357</v>
      </c>
      <c r="B355" s="12"/>
      <c r="C355" s="12">
        <v>7</v>
      </c>
      <c r="D355" s="12">
        <v>4</v>
      </c>
      <c r="E355" s="12">
        <v>20</v>
      </c>
      <c r="F355" s="12">
        <v>18108.9328780174</v>
      </c>
      <c r="G355" s="12">
        <v>8.92728590965271</v>
      </c>
      <c r="H355" s="12">
        <v>18096.077949047001</v>
      </c>
      <c r="I355" s="12">
        <v>1167.3647880262099</v>
      </c>
      <c r="J355" s="41">
        <v>1.2914234990302901E-2</v>
      </c>
      <c r="K355" s="41" t="s">
        <v>470</v>
      </c>
      <c r="M355" s="12">
        <v>11647.2</v>
      </c>
      <c r="N355" s="12">
        <v>5.34</v>
      </c>
      <c r="O355" s="12">
        <v>11641.86</v>
      </c>
      <c r="P355" s="12" t="s">
        <v>333</v>
      </c>
      <c r="Q355" s="12" t="s">
        <v>333</v>
      </c>
      <c r="R355" s="12" t="s">
        <v>333</v>
      </c>
      <c r="S355" s="12">
        <v>1166.22432062395</v>
      </c>
      <c r="T355" s="12" t="s">
        <v>463</v>
      </c>
      <c r="U355" s="28" t="s">
        <v>470</v>
      </c>
    </row>
    <row r="356" spans="1:21" x14ac:dyDescent="0.2">
      <c r="A356" s="12" t="s">
        <v>360</v>
      </c>
      <c r="B356" s="12"/>
      <c r="C356" s="12">
        <v>7</v>
      </c>
      <c r="D356" s="12">
        <v>4</v>
      </c>
      <c r="E356" s="12">
        <v>20</v>
      </c>
      <c r="F356" s="12">
        <v>18098.076364040298</v>
      </c>
      <c r="G356" s="12">
        <v>8.9086570739746094</v>
      </c>
      <c r="H356" s="12">
        <v>18085.254287004402</v>
      </c>
      <c r="I356" s="12" t="s">
        <v>453</v>
      </c>
      <c r="J356" s="41" t="s">
        <v>454</v>
      </c>
      <c r="K356" s="41" t="s">
        <v>513</v>
      </c>
      <c r="M356" s="12">
        <v>15030.55</v>
      </c>
      <c r="N356" s="12">
        <v>5.34</v>
      </c>
      <c r="O356" s="12">
        <v>15025.21</v>
      </c>
      <c r="P356" s="12" t="s">
        <v>333</v>
      </c>
      <c r="Q356" s="12" t="s">
        <v>333</v>
      </c>
      <c r="R356" s="12" t="s">
        <v>333</v>
      </c>
      <c r="S356" s="12">
        <v>1355.9926272662201</v>
      </c>
      <c r="T356" s="12" t="s">
        <v>463</v>
      </c>
      <c r="U356" s="28" t="s">
        <v>470</v>
      </c>
    </row>
    <row r="357" spans="1:21" x14ac:dyDescent="0.2">
      <c r="A357" s="12" t="s">
        <v>363</v>
      </c>
      <c r="B357" s="12"/>
      <c r="C357" s="12">
        <v>7</v>
      </c>
      <c r="D357" s="12">
        <v>4</v>
      </c>
      <c r="E357" s="12">
        <v>19</v>
      </c>
      <c r="F357" s="12">
        <v>18094.144380092599</v>
      </c>
      <c r="G357" s="12">
        <v>8.6367189884185702</v>
      </c>
      <c r="H357" s="12">
        <v>18081.712102174701</v>
      </c>
      <c r="I357" s="12" t="s">
        <v>453</v>
      </c>
      <c r="J357" s="41" t="s">
        <v>454</v>
      </c>
      <c r="K357" s="41" t="s">
        <v>513</v>
      </c>
      <c r="M357" s="12">
        <v>17352.4587168693</v>
      </c>
      <c r="N357" s="12">
        <v>5.7516125709999999</v>
      </c>
      <c r="O357" s="12">
        <v>17346.707104298301</v>
      </c>
      <c r="P357" s="12">
        <v>2193.1625552750002</v>
      </c>
      <c r="Q357" s="12">
        <v>15157.617294672</v>
      </c>
      <c r="R357" s="47">
        <v>9.8749999999999995E-6</v>
      </c>
      <c r="S357" s="12" t="s">
        <v>333</v>
      </c>
      <c r="T357" s="12" t="s">
        <v>333</v>
      </c>
      <c r="U357" s="28" t="s">
        <v>470</v>
      </c>
    </row>
    <row r="358" spans="1:21" x14ac:dyDescent="0.2">
      <c r="A358" s="12" t="s">
        <v>322</v>
      </c>
      <c r="B358" s="12"/>
      <c r="C358" s="12">
        <v>7</v>
      </c>
      <c r="D358" s="12">
        <v>4</v>
      </c>
      <c r="E358" s="12">
        <v>19</v>
      </c>
      <c r="F358" s="12">
        <v>18092.276998042998</v>
      </c>
      <c r="G358" s="12">
        <v>8.6101040840148908</v>
      </c>
      <c r="H358" s="12">
        <v>18079.919180870002</v>
      </c>
      <c r="I358" s="12">
        <v>1449.3757605155999</v>
      </c>
      <c r="J358" s="41">
        <v>3.2976473075140497E-2</v>
      </c>
      <c r="K358" s="41" t="s">
        <v>470</v>
      </c>
      <c r="M358" s="12">
        <v>918.51</v>
      </c>
      <c r="N358" s="12">
        <v>5.66</v>
      </c>
      <c r="O358" s="12">
        <v>912.85</v>
      </c>
      <c r="P358" s="12" t="s">
        <v>333</v>
      </c>
      <c r="Q358" s="12" t="s">
        <v>333</v>
      </c>
      <c r="R358" s="12" t="s">
        <v>333</v>
      </c>
      <c r="S358" s="12">
        <v>11996.5941444895</v>
      </c>
      <c r="T358" s="12" t="s">
        <v>463</v>
      </c>
      <c r="U358" s="28" t="s">
        <v>470</v>
      </c>
    </row>
    <row r="359" spans="1:21" x14ac:dyDescent="0.2">
      <c r="A359" s="12" t="s">
        <v>324</v>
      </c>
      <c r="B359" s="12"/>
      <c r="C359" s="12">
        <v>7</v>
      </c>
      <c r="D359" s="12">
        <v>4</v>
      </c>
      <c r="E359" s="12">
        <v>19</v>
      </c>
      <c r="F359" s="12">
        <v>18095.389275074001</v>
      </c>
      <c r="G359" s="12">
        <v>8.63338303565979</v>
      </c>
      <c r="H359" s="12">
        <v>18082.9432249069</v>
      </c>
      <c r="I359" s="12">
        <v>1202.17170403562</v>
      </c>
      <c r="J359" s="41">
        <v>1.9413808631269298E-2</v>
      </c>
      <c r="K359" s="41" t="s">
        <v>470</v>
      </c>
      <c r="M359" s="12">
        <v>2660.83</v>
      </c>
      <c r="N359" s="12">
        <v>5.3</v>
      </c>
      <c r="O359" s="12">
        <v>2655.53</v>
      </c>
      <c r="P359" s="12" t="s">
        <v>333</v>
      </c>
      <c r="Q359" s="12" t="s">
        <v>333</v>
      </c>
      <c r="R359" s="12" t="s">
        <v>333</v>
      </c>
      <c r="S359" s="12">
        <v>1274.18800120935</v>
      </c>
      <c r="T359" s="12" t="s">
        <v>463</v>
      </c>
      <c r="U359" s="28" t="s">
        <v>470</v>
      </c>
    </row>
    <row r="360" spans="1:21" x14ac:dyDescent="0.2">
      <c r="A360" s="12" t="s">
        <v>327</v>
      </c>
      <c r="B360" s="12"/>
      <c r="C360" s="12">
        <v>7</v>
      </c>
      <c r="D360" s="12">
        <v>4</v>
      </c>
      <c r="E360" s="12">
        <v>19</v>
      </c>
      <c r="F360" s="12">
        <v>18098.825484991001</v>
      </c>
      <c r="G360" s="12">
        <v>8.6257948875427193</v>
      </c>
      <c r="H360" s="12">
        <v>18086.4184029102</v>
      </c>
      <c r="I360" s="12">
        <v>1200.3725917879001</v>
      </c>
      <c r="J360" s="41">
        <v>1.7955361171823701E-2</v>
      </c>
      <c r="K360" s="41" t="s">
        <v>470</v>
      </c>
      <c r="M360" s="12">
        <v>3407.16</v>
      </c>
      <c r="N360" s="12">
        <v>5.47</v>
      </c>
      <c r="O360" s="12">
        <v>3401.7</v>
      </c>
      <c r="P360" s="12" t="s">
        <v>333</v>
      </c>
      <c r="Q360" s="12" t="s">
        <v>333</v>
      </c>
      <c r="R360" s="12" t="s">
        <v>333</v>
      </c>
      <c r="S360" s="12">
        <v>1229.61540560802</v>
      </c>
      <c r="T360" s="12" t="s">
        <v>463</v>
      </c>
      <c r="U360" s="28" t="s">
        <v>470</v>
      </c>
    </row>
    <row r="361" spans="1:21" x14ac:dyDescent="0.2">
      <c r="A361" s="12" t="s">
        <v>330</v>
      </c>
      <c r="B361" s="12"/>
      <c r="C361" s="12">
        <v>7</v>
      </c>
      <c r="D361" s="12">
        <v>4</v>
      </c>
      <c r="E361" s="12">
        <v>19</v>
      </c>
      <c r="F361" s="12">
        <v>18105.9036190509</v>
      </c>
      <c r="G361" s="12">
        <v>8.6044878959655708</v>
      </c>
      <c r="H361" s="12">
        <v>18093.559381961801</v>
      </c>
      <c r="I361" s="12">
        <v>1191.23652763938</v>
      </c>
      <c r="J361" s="41">
        <v>1.8031745999666799E-2</v>
      </c>
      <c r="K361" s="41" t="s">
        <v>470</v>
      </c>
      <c r="M361" s="12">
        <v>5661.75</v>
      </c>
      <c r="N361" s="12">
        <v>5.36</v>
      </c>
      <c r="O361" s="12">
        <v>5656.39</v>
      </c>
      <c r="P361" s="12" t="s">
        <v>333</v>
      </c>
      <c r="Q361" s="12" t="s">
        <v>333</v>
      </c>
      <c r="R361" s="12" t="s">
        <v>333</v>
      </c>
      <c r="S361" s="12">
        <v>1346.0044867491399</v>
      </c>
      <c r="T361" s="12" t="s">
        <v>463</v>
      </c>
      <c r="U361" s="28" t="s">
        <v>470</v>
      </c>
    </row>
    <row r="362" spans="1:21" x14ac:dyDescent="0.2">
      <c r="A362" s="12" t="s">
        <v>367</v>
      </c>
      <c r="B362" s="12"/>
      <c r="C362">
        <v>7</v>
      </c>
      <c r="D362">
        <v>4</v>
      </c>
      <c r="F362" s="12">
        <v>18098.085041046099</v>
      </c>
      <c r="G362" s="12">
        <v>8.6577730178833008</v>
      </c>
      <c r="H362" s="12">
        <v>18085.673322200699</v>
      </c>
      <c r="I362" s="12">
        <v>1258.26409567717</v>
      </c>
      <c r="J362" s="41">
        <v>1.9417949147774401E-2</v>
      </c>
      <c r="K362" s="41" t="s">
        <v>470</v>
      </c>
      <c r="M362" s="12">
        <v>5625.2</v>
      </c>
      <c r="N362" s="12">
        <v>5.64</v>
      </c>
      <c r="O362" s="12">
        <v>5619.56</v>
      </c>
      <c r="P362" s="12" t="s">
        <v>333</v>
      </c>
      <c r="Q362" s="12" t="s">
        <v>333</v>
      </c>
      <c r="R362" s="12" t="s">
        <v>333</v>
      </c>
      <c r="S362" s="12">
        <v>1346.0044867491399</v>
      </c>
      <c r="T362" s="12" t="s">
        <v>463</v>
      </c>
      <c r="U362" s="28" t="s">
        <v>470</v>
      </c>
    </row>
    <row r="363" spans="1:21" s="33" customForma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43"/>
      <c r="K363" s="43"/>
      <c r="M363" s="35"/>
      <c r="S363" s="35"/>
      <c r="T363" s="35"/>
      <c r="U363" s="44"/>
    </row>
    <row r="364" spans="1:21" x14ac:dyDescent="0.2">
      <c r="A364" s="12" t="s">
        <v>304</v>
      </c>
      <c r="B364" s="12"/>
      <c r="C364" s="12">
        <v>9</v>
      </c>
      <c r="D364" s="12">
        <v>5</v>
      </c>
      <c r="E364" s="12">
        <v>18</v>
      </c>
      <c r="F364" s="12">
        <v>18120.3080561161</v>
      </c>
      <c r="G364" s="12">
        <v>8.5615501403808594</v>
      </c>
      <c r="H364" s="12">
        <v>18108.014887094399</v>
      </c>
      <c r="I364" s="12">
        <v>1304.9657319792</v>
      </c>
      <c r="J364" s="41">
        <v>2.1434985825998801E-2</v>
      </c>
      <c r="K364" s="41" t="s">
        <v>470</v>
      </c>
      <c r="M364" s="12">
        <v>10687.3</v>
      </c>
      <c r="P364" s="28"/>
      <c r="S364" s="12">
        <v>1436.1279998182199</v>
      </c>
      <c r="T364" s="12" t="s">
        <v>463</v>
      </c>
      <c r="U364" s="28" t="s">
        <v>470</v>
      </c>
    </row>
    <row r="365" spans="1:21" x14ac:dyDescent="0.2">
      <c r="A365" s="12" t="s">
        <v>306</v>
      </c>
      <c r="B365" s="12"/>
      <c r="C365" s="12">
        <v>9</v>
      </c>
      <c r="D365" s="12">
        <v>5</v>
      </c>
      <c r="E365" s="12">
        <v>17</v>
      </c>
      <c r="F365" s="12">
        <v>18112.737385988199</v>
      </c>
      <c r="G365" s="12">
        <v>8.6202001571655202</v>
      </c>
      <c r="H365" s="12">
        <v>18100.372220039299</v>
      </c>
      <c r="I365" s="12">
        <v>1327.4163796973201</v>
      </c>
      <c r="J365" s="41">
        <v>2.95628511403194E-2</v>
      </c>
      <c r="K365" s="41" t="s">
        <v>470</v>
      </c>
      <c r="M365" s="12">
        <v>13051.559525012901</v>
      </c>
      <c r="P365" s="28"/>
      <c r="S365" s="12" t="s">
        <v>333</v>
      </c>
      <c r="T365" s="12" t="s">
        <v>333</v>
      </c>
      <c r="U365" s="28" t="s">
        <v>513</v>
      </c>
    </row>
    <row r="366" spans="1:21" x14ac:dyDescent="0.2">
      <c r="A366" s="12" t="s">
        <v>309</v>
      </c>
      <c r="B366" s="12"/>
      <c r="C366" s="12">
        <v>9</v>
      </c>
      <c r="D366" s="12">
        <v>5</v>
      </c>
      <c r="E366" s="12">
        <v>19</v>
      </c>
      <c r="F366" s="12">
        <v>18103.330178022301</v>
      </c>
      <c r="G366" s="12">
        <v>8.5078239440917898</v>
      </c>
      <c r="H366" s="12">
        <v>18091.0582828521</v>
      </c>
      <c r="I366" s="12">
        <v>1415.4190891747401</v>
      </c>
      <c r="J366" s="41">
        <v>2.1223056008042099E-2</v>
      </c>
      <c r="K366" s="41" t="s">
        <v>470</v>
      </c>
      <c r="M366" s="12">
        <v>18161.080000000002</v>
      </c>
      <c r="P366" s="28"/>
      <c r="S366" s="12">
        <v>1416.0846334443499</v>
      </c>
      <c r="T366" s="12" t="s">
        <v>463</v>
      </c>
      <c r="U366" s="28" t="s">
        <v>470</v>
      </c>
    </row>
    <row r="367" spans="1:21" x14ac:dyDescent="0.2">
      <c r="A367" s="12" t="s">
        <v>344</v>
      </c>
      <c r="B367" s="12"/>
      <c r="C367" s="12">
        <v>9</v>
      </c>
      <c r="D367" s="12">
        <v>5</v>
      </c>
      <c r="F367" s="12">
        <v>18114.524888992299</v>
      </c>
      <c r="G367" s="12">
        <v>8.6333711147308296</v>
      </c>
      <c r="H367" s="12">
        <v>18102.091231107701</v>
      </c>
      <c r="I367" s="12">
        <v>1248.39675132293</v>
      </c>
      <c r="J367" s="41">
        <v>9.4582368194999697E-3</v>
      </c>
      <c r="K367" s="41" t="s">
        <v>470</v>
      </c>
      <c r="U367" s="28" t="s">
        <v>513</v>
      </c>
    </row>
    <row r="368" spans="1:21" x14ac:dyDescent="0.2">
      <c r="A368" s="12" t="s">
        <v>313</v>
      </c>
      <c r="B368" s="12"/>
      <c r="C368" s="12">
        <v>9</v>
      </c>
      <c r="D368" s="12">
        <v>5</v>
      </c>
      <c r="E368" s="12">
        <v>19</v>
      </c>
      <c r="F368" s="12">
        <v>18109.183350801399</v>
      </c>
      <c r="G368" s="12">
        <v>9.1273980140686</v>
      </c>
      <c r="H368" s="12">
        <v>18096.076886892301</v>
      </c>
      <c r="I368" s="12">
        <v>1314.16435935392</v>
      </c>
      <c r="J368" s="41">
        <v>1.0247417803933999E-2</v>
      </c>
      <c r="K368" s="41" t="s">
        <v>470</v>
      </c>
      <c r="M368" s="12">
        <v>8465.98</v>
      </c>
      <c r="P368" s="28"/>
      <c r="S368" s="12">
        <v>1349.1682353634301</v>
      </c>
      <c r="T368" s="12" t="s">
        <v>463</v>
      </c>
      <c r="U368" s="28" t="s">
        <v>470</v>
      </c>
    </row>
    <row r="369" spans="1:21" x14ac:dyDescent="0.2">
      <c r="A369" s="12" t="s">
        <v>346</v>
      </c>
      <c r="B369" s="12"/>
      <c r="C369" s="12">
        <v>9</v>
      </c>
      <c r="D369" s="12">
        <v>5</v>
      </c>
      <c r="F369" s="12">
        <v>18098.488793134598</v>
      </c>
      <c r="G369" s="12">
        <v>8.6113531589508003</v>
      </c>
      <c r="H369" s="12">
        <v>18086.1008040905</v>
      </c>
      <c r="I369" s="12">
        <v>1278.7711529554999</v>
      </c>
      <c r="J369" s="41">
        <v>8.3820863675739196E-2</v>
      </c>
      <c r="K369" s="41" t="s">
        <v>470</v>
      </c>
      <c r="U369" s="28" t="s">
        <v>513</v>
      </c>
    </row>
    <row r="370" spans="1:21" x14ac:dyDescent="0.2">
      <c r="A370" s="12" t="s">
        <v>370</v>
      </c>
      <c r="B370" s="12"/>
      <c r="C370" s="12">
        <v>9</v>
      </c>
      <c r="D370" s="12">
        <v>5</v>
      </c>
      <c r="E370" s="12">
        <v>18</v>
      </c>
      <c r="F370" s="12">
        <v>18108.824836969299</v>
      </c>
      <c r="G370" s="12">
        <v>8.8208649158477694</v>
      </c>
      <c r="H370" s="12">
        <v>18096.1307251453</v>
      </c>
      <c r="I370" s="12">
        <v>1406.9023777433199</v>
      </c>
      <c r="J370" s="41">
        <v>6.6717892921803301E-2</v>
      </c>
      <c r="K370" s="41" t="s">
        <v>470</v>
      </c>
      <c r="M370" s="12">
        <v>13685.8723919391</v>
      </c>
      <c r="P370" s="28"/>
      <c r="S370" s="12" t="s">
        <v>333</v>
      </c>
      <c r="T370" s="12" t="s">
        <v>333</v>
      </c>
      <c r="U370" s="28" t="s">
        <v>513</v>
      </c>
    </row>
    <row r="371" spans="1:21" x14ac:dyDescent="0.2">
      <c r="A371" s="12" t="s">
        <v>315</v>
      </c>
      <c r="B371" s="12"/>
      <c r="C371" s="12">
        <v>9</v>
      </c>
      <c r="D371" s="12">
        <v>5</v>
      </c>
      <c r="F371" s="12">
        <v>18112.697957992499</v>
      </c>
      <c r="G371" s="12">
        <v>8.9786739349365199</v>
      </c>
      <c r="H371" s="12">
        <v>18099.798730850202</v>
      </c>
      <c r="I371" s="12">
        <v>1428.7928010058399</v>
      </c>
      <c r="J371" s="41">
        <v>6.8003835018536796E-2</v>
      </c>
      <c r="K371" s="41" t="s">
        <v>470</v>
      </c>
      <c r="U371" s="28" t="s">
        <v>513</v>
      </c>
    </row>
    <row r="372" spans="1:21" x14ac:dyDescent="0.2">
      <c r="A372" s="12" t="s">
        <v>350</v>
      </c>
      <c r="B372" s="12"/>
      <c r="C372" s="12">
        <v>9</v>
      </c>
      <c r="D372" s="12">
        <v>5</v>
      </c>
      <c r="E372" s="12">
        <v>19</v>
      </c>
      <c r="F372" s="12">
        <v>18100.4091598987</v>
      </c>
      <c r="G372" s="12">
        <v>8.9758930206298793</v>
      </c>
      <c r="H372" s="12">
        <v>18087.494302034302</v>
      </c>
      <c r="I372" s="12">
        <v>1447.5988753934901</v>
      </c>
      <c r="J372" s="41">
        <v>0.114334520660167</v>
      </c>
      <c r="K372" s="41" t="s">
        <v>470</v>
      </c>
      <c r="M372" s="12">
        <v>16409.064939021999</v>
      </c>
      <c r="P372" s="28"/>
      <c r="S372" s="12" t="s">
        <v>333</v>
      </c>
      <c r="T372" s="12" t="s">
        <v>333</v>
      </c>
      <c r="U372" s="28" t="s">
        <v>513</v>
      </c>
    </row>
    <row r="373" spans="1:21" x14ac:dyDescent="0.2">
      <c r="A373" s="12" t="s">
        <v>353</v>
      </c>
      <c r="B373" s="12"/>
      <c r="C373" s="12">
        <v>9</v>
      </c>
      <c r="D373" s="12">
        <v>5</v>
      </c>
      <c r="E373" s="12">
        <v>18</v>
      </c>
      <c r="F373" s="12">
        <v>18113.722637176499</v>
      </c>
      <c r="G373" s="12">
        <v>8.7801530361175502</v>
      </c>
      <c r="H373" s="12">
        <v>18101.051084041501</v>
      </c>
      <c r="I373" s="12">
        <v>1326.60945859717</v>
      </c>
      <c r="J373" s="41">
        <v>5.4071482211355201E-2</v>
      </c>
      <c r="K373" s="41" t="s">
        <v>470</v>
      </c>
      <c r="M373" s="12">
        <v>11470.91</v>
      </c>
      <c r="P373" s="28"/>
      <c r="S373" s="12">
        <v>1430.57000962336</v>
      </c>
      <c r="T373" s="12" t="s">
        <v>463</v>
      </c>
      <c r="U373" s="28" t="s">
        <v>470</v>
      </c>
    </row>
    <row r="374" spans="1:21" x14ac:dyDescent="0.2">
      <c r="A374" s="12" t="s">
        <v>318</v>
      </c>
      <c r="B374" s="12"/>
      <c r="C374" s="12">
        <v>9</v>
      </c>
      <c r="D374" s="12">
        <v>5</v>
      </c>
      <c r="E374" s="12">
        <v>18</v>
      </c>
      <c r="F374" s="12">
        <v>18092.200581073699</v>
      </c>
      <c r="G374" s="12">
        <v>8.5851299762725795</v>
      </c>
      <c r="H374" s="12">
        <v>18079.767635107</v>
      </c>
      <c r="I374" s="12">
        <v>1314.80156483668</v>
      </c>
      <c r="J374" s="41">
        <v>6.3369426113980901E-2</v>
      </c>
      <c r="K374" s="41" t="s">
        <v>470</v>
      </c>
      <c r="M374" s="12">
        <v>10994.350140094701</v>
      </c>
      <c r="P374" s="28"/>
      <c r="S374" s="12">
        <v>1410.32</v>
      </c>
      <c r="T374" s="12" t="s">
        <v>333</v>
      </c>
      <c r="U374" s="28" t="s">
        <v>470</v>
      </c>
    </row>
    <row r="375" spans="1:21" x14ac:dyDescent="0.2">
      <c r="A375" s="12" t="s">
        <v>355</v>
      </c>
      <c r="B375" s="12"/>
      <c r="C375" s="12">
        <v>9</v>
      </c>
      <c r="D375" s="12">
        <v>5</v>
      </c>
      <c r="E375" s="12">
        <v>19</v>
      </c>
      <c r="F375" s="12">
        <v>18099.377171993201</v>
      </c>
      <c r="G375" s="12">
        <v>8.9736249446868896</v>
      </c>
      <c r="H375" s="12">
        <v>18086.460947990399</v>
      </c>
      <c r="I375" s="12">
        <v>1371.3379238303901</v>
      </c>
      <c r="J375" s="41">
        <v>7.0131233323028896E-2</v>
      </c>
      <c r="K375" s="41" t="s">
        <v>470</v>
      </c>
      <c r="M375" s="12">
        <v>18453.446800947098</v>
      </c>
      <c r="P375" s="28"/>
      <c r="S375" s="12" t="s">
        <v>333</v>
      </c>
      <c r="T375" s="12" t="s">
        <v>333</v>
      </c>
      <c r="U375" s="28" t="s">
        <v>513</v>
      </c>
    </row>
    <row r="376" spans="1:21" x14ac:dyDescent="0.2">
      <c r="A376" s="12" t="s">
        <v>358</v>
      </c>
      <c r="B376" s="12"/>
      <c r="C376" s="12">
        <v>9</v>
      </c>
      <c r="D376" s="12">
        <v>5</v>
      </c>
      <c r="F376" s="12">
        <v>18111.511244058602</v>
      </c>
      <c r="G376" s="12">
        <v>8.9313559532165492</v>
      </c>
      <c r="H376" s="12">
        <v>18098.6405801773</v>
      </c>
      <c r="I376" s="12">
        <v>1310.0028630115501</v>
      </c>
      <c r="J376" s="41">
        <v>2.7189291193161502E-2</v>
      </c>
      <c r="K376" s="41" t="s">
        <v>470</v>
      </c>
      <c r="U376" s="28" t="s">
        <v>513</v>
      </c>
    </row>
    <row r="377" spans="1:21" x14ac:dyDescent="0.2">
      <c r="A377" s="12" t="s">
        <v>361</v>
      </c>
      <c r="B377" s="12"/>
      <c r="C377" s="12">
        <v>9</v>
      </c>
      <c r="D377" s="12">
        <v>5</v>
      </c>
      <c r="F377" s="12">
        <v>18109.852485179901</v>
      </c>
      <c r="G377" s="12">
        <v>8.8196210861206001</v>
      </c>
      <c r="H377" s="12">
        <v>18097.100891113201</v>
      </c>
      <c r="I377" s="12">
        <v>1323.0356906822699</v>
      </c>
      <c r="J377" s="41">
        <v>9.6669975468466507E-2</v>
      </c>
      <c r="K377" s="41" t="s">
        <v>470</v>
      </c>
      <c r="U377" s="28" t="s">
        <v>513</v>
      </c>
    </row>
    <row r="378" spans="1:21" x14ac:dyDescent="0.2">
      <c r="A378" s="12" t="s">
        <v>364</v>
      </c>
      <c r="B378" s="12"/>
      <c r="C378" s="12">
        <v>9</v>
      </c>
      <c r="D378" s="12">
        <v>5</v>
      </c>
      <c r="E378" s="12">
        <v>18</v>
      </c>
      <c r="F378" s="12">
        <v>18086.172113895402</v>
      </c>
      <c r="G378" s="12">
        <v>8.5903398990631104</v>
      </c>
      <c r="H378" s="12">
        <v>18073.781940936999</v>
      </c>
      <c r="I378" s="12">
        <v>1262.8960730957201</v>
      </c>
      <c r="J378" s="41">
        <v>4.1273160477478497E-2</v>
      </c>
      <c r="K378" s="41" t="s">
        <v>470</v>
      </c>
      <c r="M378" s="12">
        <v>15433.74</v>
      </c>
      <c r="P378" s="28"/>
      <c r="S378" s="12">
        <v>1316.20674641807</v>
      </c>
      <c r="T378" s="12" t="s">
        <v>463</v>
      </c>
      <c r="U378" s="28" t="s">
        <v>470</v>
      </c>
    </row>
    <row r="379" spans="1:21" x14ac:dyDescent="0.2">
      <c r="A379" s="12" t="s">
        <v>323</v>
      </c>
      <c r="B379" s="12"/>
      <c r="C379" s="12">
        <v>9</v>
      </c>
      <c r="D379" s="12">
        <v>5</v>
      </c>
      <c r="E379" s="12">
        <v>19</v>
      </c>
      <c r="F379" s="12">
        <v>18091.0948541164</v>
      </c>
      <c r="G379" s="12">
        <v>8.6252532005310005</v>
      </c>
      <c r="H379" s="12">
        <v>18078.716190099702</v>
      </c>
      <c r="I379" s="12">
        <v>1328.6790044652801</v>
      </c>
      <c r="J379" s="41">
        <v>1.9963333672751701E-2</v>
      </c>
      <c r="K379" s="41" t="s">
        <v>470</v>
      </c>
      <c r="M379" s="12">
        <v>21435.24</v>
      </c>
      <c r="N379" s="12">
        <v>5.31</v>
      </c>
      <c r="O379" s="12">
        <v>21429.93</v>
      </c>
      <c r="P379" s="12" t="s">
        <v>333</v>
      </c>
      <c r="Q379" s="12" t="s">
        <v>333</v>
      </c>
      <c r="R379" s="12" t="s">
        <v>333</v>
      </c>
      <c r="S379" s="12">
        <v>1326.6864182672</v>
      </c>
      <c r="T379" s="12" t="s">
        <v>463</v>
      </c>
      <c r="U379" s="28" t="s">
        <v>470</v>
      </c>
    </row>
    <row r="380" spans="1:21" x14ac:dyDescent="0.2">
      <c r="A380" s="12" t="s">
        <v>325</v>
      </c>
      <c r="B380" s="12"/>
      <c r="C380" s="12">
        <v>9</v>
      </c>
      <c r="D380" s="12">
        <v>5</v>
      </c>
      <c r="E380" s="12">
        <v>18</v>
      </c>
      <c r="F380" s="12">
        <v>18087.241541147199</v>
      </c>
      <c r="G380" s="12">
        <v>8.5957741737365705</v>
      </c>
      <c r="H380" s="12">
        <v>18074.874634027401</v>
      </c>
      <c r="I380" s="12">
        <v>1363.87665492579</v>
      </c>
      <c r="J380" s="41">
        <v>3.5677120992587803E-2</v>
      </c>
      <c r="K380" s="41" t="s">
        <v>470</v>
      </c>
      <c r="M380" s="12">
        <v>12868.12</v>
      </c>
      <c r="N380" s="12">
        <v>5.31</v>
      </c>
      <c r="O380" s="12">
        <v>12862.81</v>
      </c>
      <c r="P380" s="12" t="s">
        <v>333</v>
      </c>
      <c r="Q380" s="12" t="s">
        <v>333</v>
      </c>
      <c r="R380" s="12" t="s">
        <v>333</v>
      </c>
      <c r="S380" s="12">
        <v>1449.1535566218599</v>
      </c>
      <c r="T380" s="12" t="s">
        <v>463</v>
      </c>
      <c r="U380" s="28" t="s">
        <v>470</v>
      </c>
    </row>
    <row r="381" spans="1:21" x14ac:dyDescent="0.2">
      <c r="A381" s="12" t="s">
        <v>328</v>
      </c>
      <c r="B381" s="12"/>
      <c r="C381" s="12">
        <v>9</v>
      </c>
      <c r="D381" s="12">
        <v>5</v>
      </c>
      <c r="E381" s="12">
        <v>17</v>
      </c>
      <c r="F381" s="12">
        <v>18102.005234003002</v>
      </c>
      <c r="G381" s="12">
        <v>8.6011059284210205</v>
      </c>
      <c r="H381" s="12">
        <v>18089.615990161801</v>
      </c>
      <c r="I381" s="12">
        <v>1327.9327482439701</v>
      </c>
      <c r="J381" s="41">
        <v>1.3425176844279201E-2</v>
      </c>
      <c r="K381" s="41" t="s">
        <v>470</v>
      </c>
      <c r="M381" s="12">
        <v>13149.1571218967</v>
      </c>
      <c r="N381" s="12">
        <v>5.3336659409999996</v>
      </c>
      <c r="O381" s="12">
        <v>13143.8234559557</v>
      </c>
      <c r="P381" s="12">
        <v>7341.8787257519998</v>
      </c>
      <c r="Q381" s="12">
        <v>5805.3848770710001</v>
      </c>
      <c r="R381" s="47">
        <v>7.3819999999999998E-6</v>
      </c>
      <c r="S381" s="12">
        <v>1490.2</v>
      </c>
      <c r="T381" s="12" t="s">
        <v>333</v>
      </c>
      <c r="U381" s="28" t="s">
        <v>470</v>
      </c>
    </row>
    <row r="382" spans="1:21" x14ac:dyDescent="0.2">
      <c r="A382" s="12" t="s">
        <v>366</v>
      </c>
      <c r="B382" s="12"/>
      <c r="C382" s="12">
        <v>9</v>
      </c>
      <c r="D382" s="12">
        <v>5</v>
      </c>
      <c r="E382" s="12">
        <v>19</v>
      </c>
      <c r="F382" s="12">
        <v>18100.409657001401</v>
      </c>
      <c r="G382" s="12">
        <v>8.6023421287536603</v>
      </c>
      <c r="H382" s="12">
        <v>18088.055467128699</v>
      </c>
      <c r="I382" s="12">
        <v>1350.3754898903401</v>
      </c>
      <c r="J382" s="41">
        <v>8.4118892812746499E-3</v>
      </c>
      <c r="K382" s="41" t="s">
        <v>470</v>
      </c>
      <c r="M382" s="12">
        <v>15837.2494499683</v>
      </c>
      <c r="N382" s="12">
        <v>5.2752106589999999</v>
      </c>
      <c r="O382" s="12">
        <v>15831.9742393093</v>
      </c>
      <c r="P382" s="12">
        <v>7436.0864798330003</v>
      </c>
      <c r="Q382" s="12">
        <v>8399.3584691839897</v>
      </c>
      <c r="R382" s="47">
        <v>4.4299999999999999E-6</v>
      </c>
      <c r="S382" s="12"/>
      <c r="T382" s="12" t="s">
        <v>333</v>
      </c>
      <c r="U382" s="28" t="s">
        <v>513</v>
      </c>
    </row>
    <row r="383" spans="1:21" x14ac:dyDescent="0.2">
      <c r="A383" s="12" t="s">
        <v>332</v>
      </c>
      <c r="B383" s="12"/>
      <c r="C383" s="12">
        <v>9</v>
      </c>
      <c r="D383" s="12">
        <v>5</v>
      </c>
      <c r="F383" s="12">
        <v>18095.593381881699</v>
      </c>
      <c r="G383" s="12">
        <v>8.6379268169403005</v>
      </c>
      <c r="H383" s="12">
        <v>18083.125968933098</v>
      </c>
      <c r="I383" s="12">
        <v>1314.16435935392</v>
      </c>
      <c r="J383" s="41">
        <v>1.0140060618581999E-2</v>
      </c>
      <c r="K383" s="41" t="s">
        <v>470</v>
      </c>
      <c r="M383" s="12">
        <v>8743.11</v>
      </c>
      <c r="N383" s="12">
        <v>5.32</v>
      </c>
      <c r="O383" s="12">
        <v>8737.7999999999993</v>
      </c>
      <c r="P383" s="12" t="s">
        <v>333</v>
      </c>
      <c r="Q383" s="12" t="s">
        <v>333</v>
      </c>
      <c r="R383" s="12" t="s">
        <v>333</v>
      </c>
      <c r="S383" s="12">
        <v>1349.1682353634301</v>
      </c>
      <c r="T383" s="12" t="s">
        <v>463</v>
      </c>
      <c r="U383" s="28" t="s">
        <v>470</v>
      </c>
    </row>
    <row r="384" spans="1:21" s="33" customFormat="1" x14ac:dyDescent="0.2">
      <c r="A384" s="33">
        <f>COUNTA(A322:A383)</f>
        <v>60</v>
      </c>
      <c r="J384" s="33" t="s">
        <v>456</v>
      </c>
    </row>
    <row r="389" spans="8:14" x14ac:dyDescent="0.2">
      <c r="M389" t="s">
        <v>461</v>
      </c>
      <c r="N389" t="s">
        <v>27</v>
      </c>
    </row>
    <row r="390" spans="8:14" x14ac:dyDescent="0.2">
      <c r="M390">
        <v>32</v>
      </c>
      <c r="N390">
        <v>57</v>
      </c>
    </row>
    <row r="391" spans="8:14" x14ac:dyDescent="0.2">
      <c r="H391" s="33" t="s">
        <v>458</v>
      </c>
      <c r="I391" s="33"/>
      <c r="J391" s="33" t="s">
        <v>459</v>
      </c>
      <c r="K391" s="33"/>
      <c r="M391">
        <v>28</v>
      </c>
      <c r="N391">
        <v>3</v>
      </c>
    </row>
    <row r="392" spans="8:14" x14ac:dyDescent="0.2">
      <c r="H392" s="33" t="s">
        <v>457</v>
      </c>
      <c r="I392" s="33"/>
      <c r="J392" s="33" t="s">
        <v>460</v>
      </c>
      <c r="K392" s="33"/>
      <c r="M392">
        <v>0</v>
      </c>
      <c r="N392">
        <v>0</v>
      </c>
    </row>
    <row r="393" spans="8:14" x14ac:dyDescent="0.2">
      <c r="M393" t="s">
        <v>1</v>
      </c>
      <c r="N393" t="s">
        <v>27</v>
      </c>
    </row>
    <row r="394" spans="8:14" x14ac:dyDescent="0.2">
      <c r="M394">
        <v>7</v>
      </c>
      <c r="N394">
        <v>56</v>
      </c>
    </row>
    <row r="395" spans="8:14" x14ac:dyDescent="0.2">
      <c r="M395">
        <v>53</v>
      </c>
      <c r="N395">
        <v>4</v>
      </c>
    </row>
    <row r="396" spans="8:14" x14ac:dyDescent="0.2">
      <c r="M396">
        <v>0</v>
      </c>
      <c r="N396">
        <v>0</v>
      </c>
    </row>
    <row r="397" spans="8:14" x14ac:dyDescent="0.2">
      <c r="M397" t="s">
        <v>462</v>
      </c>
      <c r="N397" t="s">
        <v>27</v>
      </c>
    </row>
    <row r="398" spans="8:14" x14ac:dyDescent="0.2">
      <c r="M398">
        <v>0</v>
      </c>
      <c r="N398">
        <v>4</v>
      </c>
    </row>
    <row r="399" spans="8:14" x14ac:dyDescent="0.2">
      <c r="M399">
        <v>51</v>
      </c>
      <c r="N399">
        <f>60-7-13</f>
        <v>40</v>
      </c>
    </row>
    <row r="400" spans="8:14" x14ac:dyDescent="0.2">
      <c r="M400">
        <v>9</v>
      </c>
      <c r="N400">
        <v>9</v>
      </c>
    </row>
  </sheetData>
  <autoFilter ref="A1:AA384" xr:uid="{5D01128E-E56E-134F-9DBE-526E07C15B7D}"/>
  <sortState xmlns:xlrd2="http://schemas.microsoft.com/office/spreadsheetml/2017/richdata2" ref="A364:W383">
    <sortCondition ref="B364:B383"/>
    <sortCondition ref="C364:C383"/>
    <sortCondition ref="A364:A383"/>
  </sortState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012F-3D9D-7342-86D8-D367D1DA881B}">
  <dimension ref="A1:L82"/>
  <sheetViews>
    <sheetView workbookViewId="0">
      <selection activeCell="A151" sqref="A117:E151"/>
    </sheetView>
  </sheetViews>
  <sheetFormatPr baseColWidth="10" defaultRowHeight="16" x14ac:dyDescent="0.2"/>
  <cols>
    <col min="1" max="2" width="28.33203125" bestFit="1" customWidth="1"/>
  </cols>
  <sheetData>
    <row r="1" spans="1:12" x14ac:dyDescent="0.2">
      <c r="A1" s="11" t="s">
        <v>518</v>
      </c>
      <c r="B1" s="11" t="s">
        <v>36</v>
      </c>
      <c r="C1" s="11" t="s">
        <v>301</v>
      </c>
      <c r="D1" s="11">
        <v>100</v>
      </c>
      <c r="E1" s="11">
        <v>4</v>
      </c>
      <c r="F1" s="11">
        <v>2</v>
      </c>
      <c r="G1" s="11">
        <v>24</v>
      </c>
      <c r="H1" s="11">
        <v>18120.852283000899</v>
      </c>
      <c r="I1" s="11">
        <v>8.6256070137023908</v>
      </c>
      <c r="J1" s="11">
        <v>18108.459537982901</v>
      </c>
      <c r="K1" s="11">
        <v>1515.65495087261</v>
      </c>
      <c r="L1" s="11">
        <v>1.8393239803217099E-2</v>
      </c>
    </row>
    <row r="2" spans="1:12" x14ac:dyDescent="0.2">
      <c r="A2" s="11" t="s">
        <v>518</v>
      </c>
      <c r="B2" s="12" t="s">
        <v>36</v>
      </c>
      <c r="C2" s="12" t="s">
        <v>342</v>
      </c>
      <c r="D2" s="12">
        <v>100</v>
      </c>
      <c r="E2" s="12">
        <v>4</v>
      </c>
      <c r="F2" s="12">
        <v>2</v>
      </c>
      <c r="G2" s="12">
        <v>24</v>
      </c>
      <c r="H2" s="12">
        <v>18089.719990968701</v>
      </c>
      <c r="I2" s="12">
        <v>8.6163899898528999</v>
      </c>
      <c r="J2" s="12">
        <v>18077.3244020938</v>
      </c>
      <c r="K2" s="12">
        <v>1673.5246571820201</v>
      </c>
      <c r="L2" s="12">
        <v>4.1499032084366602E-2</v>
      </c>
    </row>
    <row r="3" spans="1:12" x14ac:dyDescent="0.2">
      <c r="A3" s="11" t="s">
        <v>518</v>
      </c>
      <c r="B3" s="12" t="s">
        <v>36</v>
      </c>
      <c r="C3" s="12" t="s">
        <v>307</v>
      </c>
      <c r="D3" s="12">
        <v>100</v>
      </c>
      <c r="E3" s="12">
        <v>4</v>
      </c>
      <c r="F3" s="12">
        <v>2</v>
      </c>
      <c r="G3" s="12">
        <v>23</v>
      </c>
      <c r="H3" s="12">
        <v>18103.504799842802</v>
      </c>
      <c r="I3" s="12">
        <v>8.6454579830169607</v>
      </c>
      <c r="J3" s="12">
        <v>18091.131712913499</v>
      </c>
      <c r="K3" s="12">
        <v>1412.0492783812599</v>
      </c>
      <c r="L3" s="12">
        <v>1.16348812824617E-2</v>
      </c>
    </row>
    <row r="4" spans="1:12" x14ac:dyDescent="0.2">
      <c r="A4" s="11" t="s">
        <v>518</v>
      </c>
      <c r="B4" s="12" t="s">
        <v>36</v>
      </c>
      <c r="C4" s="12" t="s">
        <v>310</v>
      </c>
      <c r="D4" s="12">
        <v>100</v>
      </c>
      <c r="E4" s="12">
        <v>4</v>
      </c>
      <c r="F4" s="12">
        <v>2</v>
      </c>
      <c r="G4" s="12">
        <v>24</v>
      </c>
      <c r="H4" s="12">
        <v>18098.606912136001</v>
      </c>
      <c r="I4" s="12">
        <v>8.6356220245361293</v>
      </c>
      <c r="J4" s="12">
        <v>18086.237718820499</v>
      </c>
      <c r="K4" s="12">
        <v>1617.0824695271699</v>
      </c>
      <c r="L4" s="12">
        <v>1.8213590879039801E-2</v>
      </c>
    </row>
    <row r="5" spans="1:12" x14ac:dyDescent="0.2">
      <c r="A5" s="11" t="s">
        <v>519</v>
      </c>
      <c r="B5" s="12" t="s">
        <v>36</v>
      </c>
      <c r="C5" s="12" t="s">
        <v>311</v>
      </c>
      <c r="D5" s="12">
        <v>100</v>
      </c>
      <c r="E5" s="12">
        <v>4</v>
      </c>
      <c r="F5" s="12">
        <v>2</v>
      </c>
      <c r="G5" s="12">
        <v>23</v>
      </c>
      <c r="H5" s="12">
        <v>18135.4858851432</v>
      </c>
      <c r="I5" s="12">
        <v>8.9263551235198904</v>
      </c>
      <c r="J5" s="12">
        <v>18122.637984991001</v>
      </c>
      <c r="K5" s="12">
        <v>1527.76823576838</v>
      </c>
      <c r="L5" s="12">
        <v>2.0502432462488701E-2</v>
      </c>
    </row>
    <row r="6" spans="1:12" x14ac:dyDescent="0.2">
      <c r="A6" s="11" t="s">
        <v>518</v>
      </c>
      <c r="B6" s="12" t="s">
        <v>36</v>
      </c>
      <c r="C6" s="12" t="s">
        <v>345</v>
      </c>
      <c r="D6" s="12">
        <v>100</v>
      </c>
      <c r="E6" s="12">
        <v>4</v>
      </c>
      <c r="F6" s="12">
        <v>2</v>
      </c>
      <c r="G6" s="12">
        <v>20</v>
      </c>
      <c r="H6" s="12">
        <v>18100.431604862199</v>
      </c>
      <c r="I6" s="12">
        <v>9.2501850128173793</v>
      </c>
      <c r="J6" s="12">
        <v>18087.1488010883</v>
      </c>
      <c r="K6" s="12">
        <v>1446.15799120217</v>
      </c>
      <c r="L6" s="12">
        <v>8.8031609787116299E-2</v>
      </c>
    </row>
    <row r="7" spans="1:12" x14ac:dyDescent="0.2">
      <c r="A7" s="11" t="s">
        <v>518</v>
      </c>
      <c r="B7" s="12" t="s">
        <v>36</v>
      </c>
      <c r="C7" s="12" t="s">
        <v>368</v>
      </c>
      <c r="D7" s="12">
        <v>100</v>
      </c>
      <c r="E7" s="12">
        <v>4</v>
      </c>
      <c r="F7" s="12">
        <v>2</v>
      </c>
      <c r="G7" s="12">
        <v>22</v>
      </c>
      <c r="H7" s="12">
        <v>18107.449262142101</v>
      </c>
      <c r="I7" s="12">
        <v>9.2282590866088796</v>
      </c>
      <c r="J7" s="12">
        <v>18094.218405008301</v>
      </c>
      <c r="K7" s="12" t="s">
        <v>453</v>
      </c>
      <c r="L7" s="12" t="s">
        <v>454</v>
      </c>
    </row>
    <row r="8" spans="1:12" x14ac:dyDescent="0.2">
      <c r="A8" s="11" t="s">
        <v>518</v>
      </c>
      <c r="B8" s="12" t="s">
        <v>36</v>
      </c>
      <c r="C8" s="12" t="s">
        <v>347</v>
      </c>
      <c r="D8" s="12">
        <v>100</v>
      </c>
      <c r="E8" s="12">
        <v>4</v>
      </c>
      <c r="F8" s="12">
        <v>2</v>
      </c>
      <c r="G8" s="12">
        <v>22</v>
      </c>
      <c r="H8" s="12">
        <v>18102.185633897701</v>
      </c>
      <c r="I8" s="12">
        <v>8.9358339309692294</v>
      </c>
      <c r="J8" s="12">
        <v>18089.346467971802</v>
      </c>
      <c r="K8" s="12" t="s">
        <v>453</v>
      </c>
      <c r="L8" s="12" t="s">
        <v>454</v>
      </c>
    </row>
    <row r="9" spans="1:12" x14ac:dyDescent="0.2">
      <c r="A9" s="11" t="s">
        <v>518</v>
      </c>
      <c r="B9" s="12" t="s">
        <v>36</v>
      </c>
      <c r="C9" s="12" t="s">
        <v>349</v>
      </c>
      <c r="D9" s="12">
        <v>100</v>
      </c>
      <c r="E9" s="12">
        <v>4</v>
      </c>
      <c r="F9" s="12">
        <v>2</v>
      </c>
      <c r="G9" s="12">
        <v>21</v>
      </c>
      <c r="H9" s="12">
        <v>18108.856997013001</v>
      </c>
      <c r="I9" s="12">
        <v>8.9112207889556796</v>
      </c>
      <c r="J9" s="12">
        <v>18096.0438120365</v>
      </c>
      <c r="K9" s="12" t="s">
        <v>453</v>
      </c>
      <c r="L9" s="12" t="s">
        <v>454</v>
      </c>
    </row>
    <row r="10" spans="1:12" x14ac:dyDescent="0.2">
      <c r="A10" s="11" t="s">
        <v>519</v>
      </c>
      <c r="B10" s="12" t="s">
        <v>36</v>
      </c>
      <c r="C10" s="12" t="s">
        <v>351</v>
      </c>
      <c r="D10" s="12">
        <v>100</v>
      </c>
      <c r="E10" s="12">
        <v>4</v>
      </c>
      <c r="F10" s="12">
        <v>2</v>
      </c>
      <c r="G10" s="12">
        <v>22</v>
      </c>
      <c r="H10" s="12">
        <v>18113.636203050599</v>
      </c>
      <c r="I10" s="12">
        <v>8.9226720333099294</v>
      </c>
      <c r="J10" s="12">
        <v>18100.818549871401</v>
      </c>
      <c r="K10" s="12">
        <v>1554.3579355004499</v>
      </c>
      <c r="L10" s="12">
        <v>5.6754331029209598E-2</v>
      </c>
    </row>
    <row r="11" spans="1:12" x14ac:dyDescent="0.2">
      <c r="A11" s="11" t="s">
        <v>518</v>
      </c>
      <c r="B11" s="12" t="s">
        <v>36</v>
      </c>
      <c r="C11" s="12" t="s">
        <v>354</v>
      </c>
      <c r="D11" s="12">
        <v>100</v>
      </c>
      <c r="E11" s="12">
        <v>4</v>
      </c>
      <c r="F11" s="12">
        <v>2</v>
      </c>
      <c r="G11" s="12">
        <v>24</v>
      </c>
      <c r="H11" s="12">
        <v>18107.771520852999</v>
      </c>
      <c r="I11" s="12">
        <v>8.6290769577026296</v>
      </c>
      <c r="J11" s="12">
        <v>18095.367311000799</v>
      </c>
      <c r="K11" s="12">
        <v>1518.8205279548299</v>
      </c>
      <c r="L11" s="12">
        <v>3.0392176762043401E-2</v>
      </c>
    </row>
    <row r="12" spans="1:12" x14ac:dyDescent="0.2">
      <c r="A12" s="11" t="s">
        <v>518</v>
      </c>
      <c r="B12" s="12" t="s">
        <v>36</v>
      </c>
      <c r="C12" s="12" t="s">
        <v>319</v>
      </c>
      <c r="D12" s="12">
        <v>100</v>
      </c>
      <c r="E12" s="12">
        <v>4</v>
      </c>
      <c r="F12" s="12">
        <v>2</v>
      </c>
      <c r="G12" s="12">
        <v>22</v>
      </c>
      <c r="H12" s="12">
        <v>18099.784287214199</v>
      </c>
      <c r="I12" s="12">
        <v>8.9252960681915194</v>
      </c>
      <c r="J12" s="12">
        <v>18086.948734998699</v>
      </c>
      <c r="K12" s="12" t="s">
        <v>453</v>
      </c>
      <c r="L12" s="12" t="s">
        <v>454</v>
      </c>
    </row>
    <row r="13" spans="1:12" x14ac:dyDescent="0.2">
      <c r="A13" s="11" t="s">
        <v>519</v>
      </c>
      <c r="B13" s="12" t="s">
        <v>36</v>
      </c>
      <c r="C13" s="12" t="s">
        <v>356</v>
      </c>
      <c r="D13" s="12">
        <v>100</v>
      </c>
      <c r="E13" s="12">
        <v>4</v>
      </c>
      <c r="F13" s="12">
        <v>2</v>
      </c>
      <c r="G13" s="12">
        <v>23</v>
      </c>
      <c r="H13" s="12">
        <v>18120.424179077101</v>
      </c>
      <c r="I13" s="12">
        <v>8.9589979648589999</v>
      </c>
      <c r="J13" s="12">
        <v>18107.537627935399</v>
      </c>
      <c r="K13" s="12" t="s">
        <v>453</v>
      </c>
      <c r="L13" s="12" t="s">
        <v>454</v>
      </c>
    </row>
    <row r="14" spans="1:12" x14ac:dyDescent="0.2">
      <c r="A14" s="11" t="s">
        <v>519</v>
      </c>
      <c r="B14" s="12" t="s">
        <v>36</v>
      </c>
      <c r="C14" s="12" t="s">
        <v>359</v>
      </c>
      <c r="D14" s="12">
        <v>100</v>
      </c>
      <c r="E14" s="12">
        <v>4</v>
      </c>
      <c r="F14" s="12">
        <v>2</v>
      </c>
      <c r="G14" s="12">
        <v>23</v>
      </c>
      <c r="H14" s="12">
        <v>18119.425948143002</v>
      </c>
      <c r="I14" s="12">
        <v>8.9178121089935303</v>
      </c>
      <c r="J14" s="12">
        <v>18106.588567018502</v>
      </c>
      <c r="K14" s="12">
        <v>1588.04735635319</v>
      </c>
      <c r="L14" s="12">
        <v>5.4242808012118698E-2</v>
      </c>
    </row>
    <row r="15" spans="1:12" x14ac:dyDescent="0.2">
      <c r="A15" s="11" t="s">
        <v>520</v>
      </c>
      <c r="B15" s="12" t="s">
        <v>36</v>
      </c>
      <c r="C15" s="12" t="s">
        <v>362</v>
      </c>
      <c r="D15" s="12">
        <v>100</v>
      </c>
      <c r="E15" s="12">
        <v>4</v>
      </c>
      <c r="F15" s="12">
        <v>2</v>
      </c>
      <c r="G15" s="12">
        <v>23</v>
      </c>
      <c r="H15" s="12">
        <v>18117.777481079102</v>
      </c>
      <c r="I15" s="12">
        <v>8.6087410449981601</v>
      </c>
      <c r="J15" s="12">
        <v>18105.388602018302</v>
      </c>
      <c r="K15" s="12" t="s">
        <v>453</v>
      </c>
      <c r="L15" s="12" t="s">
        <v>454</v>
      </c>
    </row>
    <row r="16" spans="1:12" x14ac:dyDescent="0.2">
      <c r="A16" s="11" t="s">
        <v>519</v>
      </c>
      <c r="B16" s="12" t="s">
        <v>36</v>
      </c>
      <c r="C16" s="12" t="s">
        <v>321</v>
      </c>
      <c r="D16" s="12">
        <v>100</v>
      </c>
      <c r="E16" s="12">
        <v>4</v>
      </c>
      <c r="F16" s="12">
        <v>2</v>
      </c>
      <c r="G16" s="12">
        <v>23</v>
      </c>
      <c r="H16" s="12">
        <v>18092.305726051301</v>
      </c>
      <c r="I16" s="12">
        <v>8.5599820613860995</v>
      </c>
      <c r="J16" s="12">
        <v>18079.955645084301</v>
      </c>
      <c r="K16" s="12">
        <v>1473.7883739779099</v>
      </c>
      <c r="L16" s="12">
        <v>1.2189215935132501E-2</v>
      </c>
    </row>
    <row r="17" spans="1:12" x14ac:dyDescent="0.2">
      <c r="A17" s="11" t="s">
        <v>519</v>
      </c>
      <c r="B17" s="12" t="s">
        <v>36</v>
      </c>
      <c r="C17" s="12" t="s">
        <v>365</v>
      </c>
      <c r="D17" s="12">
        <v>100</v>
      </c>
      <c r="E17" s="12">
        <v>4</v>
      </c>
      <c r="F17" s="12">
        <v>2</v>
      </c>
      <c r="G17" s="12">
        <v>24</v>
      </c>
      <c r="H17" s="12">
        <v>18095.413469076098</v>
      </c>
      <c r="I17" s="12">
        <v>8.6328558921813894</v>
      </c>
      <c r="J17" s="12">
        <v>18083.018872976299</v>
      </c>
      <c r="K17" s="12">
        <v>1654.60793880446</v>
      </c>
      <c r="L17" s="12">
        <v>3.75697361148397E-2</v>
      </c>
    </row>
    <row r="18" spans="1:12" x14ac:dyDescent="0.2">
      <c r="A18" s="11" t="s">
        <v>519</v>
      </c>
      <c r="B18" s="12" t="s">
        <v>36</v>
      </c>
      <c r="C18" s="12" t="s">
        <v>326</v>
      </c>
      <c r="D18" s="12">
        <v>100</v>
      </c>
      <c r="E18" s="12">
        <v>4</v>
      </c>
      <c r="F18" s="12">
        <v>2</v>
      </c>
      <c r="G18" s="12">
        <v>22</v>
      </c>
      <c r="H18" s="12">
        <v>18095.517929077101</v>
      </c>
      <c r="I18" s="12">
        <v>8.63464307785034</v>
      </c>
      <c r="J18" s="12">
        <v>18083.119947910302</v>
      </c>
      <c r="K18" s="12">
        <v>1375.1639897571499</v>
      </c>
      <c r="L18" s="12">
        <v>1.5233130902643799E-2</v>
      </c>
    </row>
    <row r="19" spans="1:12" x14ac:dyDescent="0.2">
      <c r="A19" s="11" t="s">
        <v>519</v>
      </c>
      <c r="B19" s="12" t="s">
        <v>36</v>
      </c>
      <c r="C19" s="12" t="s">
        <v>329</v>
      </c>
      <c r="D19" s="12">
        <v>100</v>
      </c>
      <c r="E19" s="12">
        <v>4</v>
      </c>
      <c r="F19" s="12">
        <v>2</v>
      </c>
      <c r="G19" s="12">
        <v>22</v>
      </c>
      <c r="H19" s="12">
        <v>18089.391759157101</v>
      </c>
      <c r="I19" s="12">
        <v>8.6569731235504097</v>
      </c>
      <c r="J19" s="12">
        <v>18076.9434731006</v>
      </c>
      <c r="K19" s="12">
        <v>1569.7923470401199</v>
      </c>
      <c r="L19" s="12">
        <v>3.3688201363574401E-2</v>
      </c>
    </row>
    <row r="20" spans="1:12" x14ac:dyDescent="0.2">
      <c r="A20" s="11" t="s">
        <v>520</v>
      </c>
      <c r="B20" s="12" t="s">
        <v>36</v>
      </c>
      <c r="C20" s="12" t="s">
        <v>331</v>
      </c>
      <c r="D20" s="12">
        <v>100</v>
      </c>
      <c r="E20" s="12">
        <v>4</v>
      </c>
      <c r="F20" s="12">
        <v>2</v>
      </c>
      <c r="G20" s="12">
        <v>23</v>
      </c>
      <c r="H20" s="12">
        <v>18101.457800865101</v>
      </c>
      <c r="I20" s="12">
        <v>8.6205279827117902</v>
      </c>
      <c r="J20" s="12">
        <v>18089.013921975999</v>
      </c>
      <c r="K20" s="12">
        <v>1548.0436398243401</v>
      </c>
      <c r="L20" s="12">
        <v>2.0504026640812401E-2</v>
      </c>
    </row>
    <row r="21" spans="1:12" x14ac:dyDescent="0.2">
      <c r="A21" s="11" t="s">
        <v>519</v>
      </c>
      <c r="B21" s="12" t="s">
        <v>36</v>
      </c>
      <c r="C21" s="12" t="s">
        <v>303</v>
      </c>
      <c r="D21" s="12">
        <v>100</v>
      </c>
      <c r="E21" s="12">
        <v>7</v>
      </c>
      <c r="F21" s="12">
        <v>4</v>
      </c>
      <c r="G21" s="12">
        <v>19</v>
      </c>
      <c r="H21" s="12">
        <v>18116.067315816799</v>
      </c>
      <c r="I21" s="12">
        <v>8.9657139778137207</v>
      </c>
      <c r="J21" s="12">
        <v>18103.157053232098</v>
      </c>
      <c r="K21" s="12">
        <v>1295.0570357398999</v>
      </c>
      <c r="L21" s="12">
        <v>2.6562197120207801E-2</v>
      </c>
    </row>
    <row r="22" spans="1:12" x14ac:dyDescent="0.2">
      <c r="A22" s="11" t="s">
        <v>518</v>
      </c>
      <c r="B22" s="12" t="s">
        <v>36</v>
      </c>
      <c r="C22" s="12" t="s">
        <v>305</v>
      </c>
      <c r="D22" s="12">
        <v>100</v>
      </c>
      <c r="E22" s="12">
        <v>7</v>
      </c>
      <c r="F22" s="12">
        <v>4</v>
      </c>
      <c r="G22" s="12">
        <v>19</v>
      </c>
      <c r="H22" s="12">
        <v>18099.685709953301</v>
      </c>
      <c r="I22" s="12">
        <v>8.5891988277435303</v>
      </c>
      <c r="J22" s="12">
        <v>18087.313011884598</v>
      </c>
      <c r="K22" s="12">
        <v>1221.1971682133101</v>
      </c>
      <c r="L22" s="12">
        <v>1.68125592497201E-2</v>
      </c>
    </row>
    <row r="23" spans="1:12" x14ac:dyDescent="0.2">
      <c r="A23" s="11" t="s">
        <v>518</v>
      </c>
      <c r="B23" s="12" t="s">
        <v>36</v>
      </c>
      <c r="C23" s="12" t="s">
        <v>308</v>
      </c>
      <c r="D23" s="12">
        <v>100</v>
      </c>
      <c r="E23" s="12">
        <v>7</v>
      </c>
      <c r="F23" s="12">
        <v>4</v>
      </c>
      <c r="G23" s="12">
        <v>18</v>
      </c>
      <c r="H23" s="12">
        <v>18108.781451225201</v>
      </c>
      <c r="I23" s="12">
        <v>8.6242871284484792</v>
      </c>
      <c r="J23" s="12">
        <v>18096.415920972799</v>
      </c>
      <c r="K23" s="12">
        <v>1159.7929812698001</v>
      </c>
      <c r="L23" s="12">
        <v>2.6342966872660401E-2</v>
      </c>
    </row>
    <row r="24" spans="1:12" x14ac:dyDescent="0.2">
      <c r="A24" s="11" t="s">
        <v>519</v>
      </c>
      <c r="B24" s="12" t="s">
        <v>36</v>
      </c>
      <c r="C24" s="12" t="s">
        <v>343</v>
      </c>
      <c r="D24" s="12">
        <v>100</v>
      </c>
      <c r="E24" s="12">
        <v>7</v>
      </c>
      <c r="F24" s="12">
        <v>4</v>
      </c>
      <c r="G24" s="12">
        <v>20</v>
      </c>
      <c r="H24" s="12">
        <v>18113.898733139002</v>
      </c>
      <c r="I24" s="12">
        <v>8.6517560482025093</v>
      </c>
      <c r="J24" s="12">
        <v>18101.482788085901</v>
      </c>
      <c r="K24" s="12">
        <v>1224.45771448497</v>
      </c>
      <c r="L24" s="12">
        <v>1.48701689853812E-2</v>
      </c>
    </row>
    <row r="25" spans="1:12" x14ac:dyDescent="0.2">
      <c r="A25" s="11" t="s">
        <v>518</v>
      </c>
      <c r="B25" s="12" t="s">
        <v>36</v>
      </c>
      <c r="C25" s="12" t="s">
        <v>312</v>
      </c>
      <c r="D25" s="12">
        <v>100</v>
      </c>
      <c r="E25" s="12">
        <v>7</v>
      </c>
      <c r="F25" s="12">
        <v>4</v>
      </c>
      <c r="G25" s="12">
        <v>19</v>
      </c>
      <c r="H25" s="12">
        <v>18085.803107023199</v>
      </c>
      <c r="I25" s="12">
        <v>8.70322489738464</v>
      </c>
      <c r="J25" s="12">
        <v>18073.2564668655</v>
      </c>
      <c r="K25" s="12" t="s">
        <v>453</v>
      </c>
      <c r="L25" s="12" t="s">
        <v>454</v>
      </c>
    </row>
    <row r="26" spans="1:12" x14ac:dyDescent="0.2">
      <c r="A26" s="11" t="s">
        <v>519</v>
      </c>
      <c r="B26" s="12" t="s">
        <v>36</v>
      </c>
      <c r="C26" s="12" t="s">
        <v>314</v>
      </c>
      <c r="D26" s="12">
        <v>100</v>
      </c>
      <c r="E26" s="12">
        <v>7</v>
      </c>
      <c r="F26" s="12">
        <v>4</v>
      </c>
      <c r="G26" s="12">
        <v>19</v>
      </c>
      <c r="H26" s="12">
        <v>18114.638758897701</v>
      </c>
      <c r="I26" s="12">
        <v>9.4515860080718994</v>
      </c>
      <c r="J26" s="12">
        <v>18100.9784271717</v>
      </c>
      <c r="K26" s="12">
        <v>1326.9205304228799</v>
      </c>
      <c r="L26" s="12">
        <v>5.5393794319610098E-2</v>
      </c>
    </row>
    <row r="27" spans="1:12" x14ac:dyDescent="0.2">
      <c r="A27" s="11" t="s">
        <v>519</v>
      </c>
      <c r="B27" s="12" t="s">
        <v>36</v>
      </c>
      <c r="C27" s="12" t="s">
        <v>369</v>
      </c>
      <c r="D27" s="12">
        <v>100</v>
      </c>
      <c r="E27" s="12">
        <v>7</v>
      </c>
      <c r="F27" s="12">
        <v>4</v>
      </c>
      <c r="G27" s="12">
        <v>18</v>
      </c>
      <c r="H27" s="12">
        <v>18111.303483963002</v>
      </c>
      <c r="I27" s="12">
        <v>8.7274367809295601</v>
      </c>
      <c r="J27" s="12">
        <v>18098.770021915399</v>
      </c>
      <c r="K27" s="12">
        <v>1221.1520491661799</v>
      </c>
      <c r="L27" s="12">
        <v>4.53627795741244E-2</v>
      </c>
    </row>
    <row r="28" spans="1:12" x14ac:dyDescent="0.2">
      <c r="A28" s="11" t="s">
        <v>519</v>
      </c>
      <c r="B28" s="12" t="s">
        <v>36</v>
      </c>
      <c r="C28" s="12" t="s">
        <v>348</v>
      </c>
      <c r="D28" s="12">
        <v>100</v>
      </c>
      <c r="E28" s="12">
        <v>7</v>
      </c>
      <c r="F28" s="12">
        <v>4</v>
      </c>
      <c r="G28" s="12">
        <v>18</v>
      </c>
      <c r="H28" s="12">
        <v>18117.1692879199</v>
      </c>
      <c r="I28" s="12">
        <v>8.96726202964782</v>
      </c>
      <c r="J28" s="12">
        <v>18104.289582014</v>
      </c>
      <c r="K28" s="12">
        <v>1219.59173719828</v>
      </c>
      <c r="L28" s="12">
        <v>5.3996469076930002E-2</v>
      </c>
    </row>
    <row r="29" spans="1:12" x14ac:dyDescent="0.2">
      <c r="A29" s="11" t="s">
        <v>519</v>
      </c>
      <c r="B29" s="12" t="s">
        <v>36</v>
      </c>
      <c r="C29" s="12" t="s">
        <v>316</v>
      </c>
      <c r="D29" s="12">
        <v>100</v>
      </c>
      <c r="E29" s="12">
        <v>7</v>
      </c>
      <c r="F29" s="12">
        <v>4</v>
      </c>
      <c r="G29" s="12">
        <v>20</v>
      </c>
      <c r="H29" s="12">
        <v>18120.354377031301</v>
      </c>
      <c r="I29" s="12">
        <v>8.9807419776916504</v>
      </c>
      <c r="J29" s="12">
        <v>18107.448801994298</v>
      </c>
      <c r="K29" s="12">
        <v>1313.1071781163</v>
      </c>
      <c r="L29" s="12">
        <v>7.32986170179354E-2</v>
      </c>
    </row>
    <row r="30" spans="1:12" x14ac:dyDescent="0.2">
      <c r="A30" s="11" t="s">
        <v>519</v>
      </c>
      <c r="B30" s="12" t="s">
        <v>36</v>
      </c>
      <c r="C30" s="12" t="s">
        <v>352</v>
      </c>
      <c r="D30" s="12">
        <v>100</v>
      </c>
      <c r="E30" s="12">
        <v>7</v>
      </c>
      <c r="F30" s="12">
        <v>4</v>
      </c>
      <c r="G30" s="12">
        <v>20</v>
      </c>
      <c r="H30" s="12">
        <v>18132.928090095498</v>
      </c>
      <c r="I30" s="12">
        <v>8.9322791099548304</v>
      </c>
      <c r="J30" s="12">
        <v>18120.0860249996</v>
      </c>
      <c r="K30" s="12">
        <v>1321.8286893049701</v>
      </c>
      <c r="L30" s="12">
        <v>5.9763760960492497E-2</v>
      </c>
    </row>
    <row r="31" spans="1:12" x14ac:dyDescent="0.2">
      <c r="A31" s="11" t="s">
        <v>518</v>
      </c>
      <c r="B31" s="12" t="s">
        <v>36</v>
      </c>
      <c r="C31" s="12" t="s">
        <v>317</v>
      </c>
      <c r="D31" s="12">
        <v>100</v>
      </c>
      <c r="E31" s="12">
        <v>7</v>
      </c>
      <c r="F31" s="12">
        <v>4</v>
      </c>
      <c r="G31" s="12">
        <v>20</v>
      </c>
      <c r="H31" s="12">
        <v>18090.085736036301</v>
      </c>
      <c r="I31" s="12">
        <v>8.6194760799407906</v>
      </c>
      <c r="J31" s="12">
        <v>18077.688073873502</v>
      </c>
      <c r="K31" s="12">
        <v>1272.59737716979</v>
      </c>
      <c r="L31" s="12">
        <v>6.6103397666634006E-2</v>
      </c>
    </row>
    <row r="32" spans="1:12" x14ac:dyDescent="0.2">
      <c r="A32" s="11" t="s">
        <v>518</v>
      </c>
      <c r="B32" s="12" t="s">
        <v>36</v>
      </c>
      <c r="C32" s="12" t="s">
        <v>320</v>
      </c>
      <c r="D32" s="12">
        <v>100</v>
      </c>
      <c r="E32" s="12">
        <v>7</v>
      </c>
      <c r="F32" s="12">
        <v>4</v>
      </c>
      <c r="G32" s="12">
        <v>19</v>
      </c>
      <c r="H32" s="12">
        <v>18104.943264961199</v>
      </c>
      <c r="I32" s="12">
        <v>8.9411509037017805</v>
      </c>
      <c r="J32" s="12">
        <v>18092.0837609767</v>
      </c>
      <c r="K32" s="12">
        <v>1195.9829035171399</v>
      </c>
      <c r="L32" s="12">
        <v>3.4502120542672099E-2</v>
      </c>
    </row>
    <row r="33" spans="1:12" x14ac:dyDescent="0.2">
      <c r="A33" s="11" t="s">
        <v>518</v>
      </c>
      <c r="B33" s="12" t="s">
        <v>36</v>
      </c>
      <c r="C33" s="12" t="s">
        <v>357</v>
      </c>
      <c r="D33" s="12">
        <v>100</v>
      </c>
      <c r="E33" s="12">
        <v>7</v>
      </c>
      <c r="F33" s="12">
        <v>4</v>
      </c>
      <c r="G33" s="12">
        <v>20</v>
      </c>
      <c r="H33" s="12">
        <v>18108.9328780174</v>
      </c>
      <c r="I33" s="12">
        <v>8.92728590965271</v>
      </c>
      <c r="J33" s="12">
        <v>18096.077949047001</v>
      </c>
      <c r="K33" s="12">
        <v>1167.3647880262099</v>
      </c>
      <c r="L33" s="12">
        <v>1.2914234990302901E-2</v>
      </c>
    </row>
    <row r="34" spans="1:12" x14ac:dyDescent="0.2">
      <c r="A34" s="11" t="s">
        <v>518</v>
      </c>
      <c r="B34" s="12" t="s">
        <v>36</v>
      </c>
      <c r="C34" s="12" t="s">
        <v>360</v>
      </c>
      <c r="D34" s="12">
        <v>100</v>
      </c>
      <c r="E34" s="12">
        <v>7</v>
      </c>
      <c r="F34" s="12">
        <v>4</v>
      </c>
      <c r="G34" s="12">
        <v>20</v>
      </c>
      <c r="H34" s="12">
        <v>18098.076364040298</v>
      </c>
      <c r="I34" s="12">
        <v>8.9086570739746094</v>
      </c>
      <c r="J34" s="12">
        <v>18085.254287004402</v>
      </c>
      <c r="K34" s="12" t="s">
        <v>453</v>
      </c>
      <c r="L34" s="12" t="s">
        <v>454</v>
      </c>
    </row>
    <row r="35" spans="1:12" x14ac:dyDescent="0.2">
      <c r="A35" s="11" t="s">
        <v>519</v>
      </c>
      <c r="B35" s="12" t="s">
        <v>36</v>
      </c>
      <c r="C35" s="12" t="s">
        <v>363</v>
      </c>
      <c r="D35" s="12">
        <v>100</v>
      </c>
      <c r="E35" s="12">
        <v>7</v>
      </c>
      <c r="F35" s="12">
        <v>4</v>
      </c>
      <c r="G35" s="12">
        <v>19</v>
      </c>
      <c r="H35" s="12">
        <v>18094.144380092599</v>
      </c>
      <c r="I35" s="12">
        <v>8.6367189884185702</v>
      </c>
      <c r="J35" s="12">
        <v>18081.712102174701</v>
      </c>
      <c r="K35" s="12" t="s">
        <v>453</v>
      </c>
      <c r="L35" s="12" t="s">
        <v>454</v>
      </c>
    </row>
    <row r="36" spans="1:12" x14ac:dyDescent="0.2">
      <c r="A36" s="11" t="s">
        <v>520</v>
      </c>
      <c r="B36" s="12" t="s">
        <v>36</v>
      </c>
      <c r="C36" s="12" t="s">
        <v>322</v>
      </c>
      <c r="D36" s="12">
        <v>100</v>
      </c>
      <c r="E36" s="12">
        <v>7</v>
      </c>
      <c r="F36" s="12">
        <v>4</v>
      </c>
      <c r="G36" s="12">
        <v>19</v>
      </c>
      <c r="H36" s="12">
        <v>18092.276998042998</v>
      </c>
      <c r="I36" s="12">
        <v>8.6101040840148908</v>
      </c>
      <c r="J36" s="12">
        <v>18079.919180870002</v>
      </c>
      <c r="K36" s="12">
        <v>1449.3757605155999</v>
      </c>
      <c r="L36" s="12">
        <v>3.2976473075140497E-2</v>
      </c>
    </row>
    <row r="37" spans="1:12" x14ac:dyDescent="0.2">
      <c r="A37" s="11" t="s">
        <v>519</v>
      </c>
      <c r="B37" s="12" t="s">
        <v>36</v>
      </c>
      <c r="C37" s="12" t="s">
        <v>324</v>
      </c>
      <c r="D37" s="12">
        <v>100</v>
      </c>
      <c r="E37" s="12">
        <v>7</v>
      </c>
      <c r="F37" s="12">
        <v>4</v>
      </c>
      <c r="G37" s="12">
        <v>19</v>
      </c>
      <c r="H37" s="12">
        <v>18095.389275074001</v>
      </c>
      <c r="I37" s="12">
        <v>8.63338303565979</v>
      </c>
      <c r="J37" s="12">
        <v>18082.9432249069</v>
      </c>
      <c r="K37" s="12">
        <v>1202.17170403562</v>
      </c>
      <c r="L37" s="12">
        <v>1.9413808631269298E-2</v>
      </c>
    </row>
    <row r="38" spans="1:12" x14ac:dyDescent="0.2">
      <c r="A38" s="11" t="s">
        <v>519</v>
      </c>
      <c r="B38" s="12" t="s">
        <v>36</v>
      </c>
      <c r="C38" s="12" t="s">
        <v>327</v>
      </c>
      <c r="D38" s="12">
        <v>100</v>
      </c>
      <c r="E38" s="12">
        <v>7</v>
      </c>
      <c r="F38" s="12">
        <v>4</v>
      </c>
      <c r="G38" s="12">
        <v>19</v>
      </c>
      <c r="H38" s="12">
        <v>18098.825484991001</v>
      </c>
      <c r="I38" s="12">
        <v>8.6257948875427193</v>
      </c>
      <c r="J38" s="12">
        <v>18086.4184029102</v>
      </c>
      <c r="K38" s="12">
        <v>1200.3725917879001</v>
      </c>
      <c r="L38" s="12">
        <v>1.7955361171823701E-2</v>
      </c>
    </row>
    <row r="39" spans="1:12" x14ac:dyDescent="0.2">
      <c r="A39" s="11" t="s">
        <v>520</v>
      </c>
      <c r="B39" s="12" t="s">
        <v>36</v>
      </c>
      <c r="C39" s="12" t="s">
        <v>330</v>
      </c>
      <c r="D39" s="12">
        <v>100</v>
      </c>
      <c r="E39" s="12">
        <v>7</v>
      </c>
      <c r="F39" s="12">
        <v>4</v>
      </c>
      <c r="G39" s="12">
        <v>19</v>
      </c>
      <c r="H39" s="12">
        <v>18105.9036190509</v>
      </c>
      <c r="I39" s="12">
        <v>8.6044878959655708</v>
      </c>
      <c r="J39" s="12">
        <v>18093.559381961801</v>
      </c>
      <c r="K39" s="12">
        <v>1191.23652763938</v>
      </c>
      <c r="L39" s="12">
        <v>1.8031745999666799E-2</v>
      </c>
    </row>
    <row r="40" spans="1:12" x14ac:dyDescent="0.2">
      <c r="A40" s="11" t="s">
        <v>521</v>
      </c>
      <c r="B40" s="12" t="s">
        <v>36</v>
      </c>
      <c r="C40" s="12" t="s">
        <v>367</v>
      </c>
      <c r="D40" s="12">
        <v>100</v>
      </c>
      <c r="E40" s="12">
        <v>7</v>
      </c>
      <c r="F40" s="12">
        <v>4</v>
      </c>
      <c r="G40" s="12">
        <v>19</v>
      </c>
      <c r="H40" s="12">
        <v>18098.085041046099</v>
      </c>
      <c r="I40" s="12">
        <v>8.6577730178833008</v>
      </c>
      <c r="J40" s="12">
        <v>18085.673322200699</v>
      </c>
      <c r="K40" s="12">
        <v>1258.26409567717</v>
      </c>
      <c r="L40" s="12">
        <v>1.9417949147774401E-2</v>
      </c>
    </row>
    <row r="41" spans="1:12" x14ac:dyDescent="0.2">
      <c r="A41" s="11" t="s">
        <v>519</v>
      </c>
      <c r="B41" s="12" t="s">
        <v>36</v>
      </c>
      <c r="C41" s="12" t="s">
        <v>304</v>
      </c>
      <c r="D41" s="12">
        <v>100</v>
      </c>
      <c r="E41" s="12">
        <v>9</v>
      </c>
      <c r="F41" s="12">
        <v>5</v>
      </c>
      <c r="G41" s="12">
        <v>18</v>
      </c>
      <c r="H41" s="12">
        <v>18120.3080561161</v>
      </c>
      <c r="I41" s="12">
        <v>8.5615501403808594</v>
      </c>
      <c r="J41" s="12">
        <v>18108.014887094399</v>
      </c>
      <c r="K41" s="12">
        <v>1304.9657319792</v>
      </c>
      <c r="L41" s="12">
        <v>2.1434985825998801E-2</v>
      </c>
    </row>
    <row r="42" spans="1:12" x14ac:dyDescent="0.2">
      <c r="A42" s="11" t="s">
        <v>519</v>
      </c>
      <c r="B42" s="12" t="s">
        <v>36</v>
      </c>
      <c r="C42" s="12" t="s">
        <v>306</v>
      </c>
      <c r="D42" s="12">
        <v>100</v>
      </c>
      <c r="E42" s="12">
        <v>9</v>
      </c>
      <c r="F42" s="12">
        <v>5</v>
      </c>
      <c r="G42" s="12">
        <v>17</v>
      </c>
      <c r="H42" s="12">
        <v>18112.737385988199</v>
      </c>
      <c r="I42" s="12">
        <v>8.6202001571655202</v>
      </c>
      <c r="J42" s="12">
        <v>18100.372220039299</v>
      </c>
      <c r="K42" s="12">
        <v>1327.4163796973201</v>
      </c>
      <c r="L42" s="12">
        <v>2.95628511403194E-2</v>
      </c>
    </row>
    <row r="43" spans="1:12" x14ac:dyDescent="0.2">
      <c r="A43" s="11" t="s">
        <v>518</v>
      </c>
      <c r="B43" s="12" t="s">
        <v>36</v>
      </c>
      <c r="C43" s="12" t="s">
        <v>309</v>
      </c>
      <c r="D43" s="12">
        <v>100</v>
      </c>
      <c r="E43" s="12">
        <v>9</v>
      </c>
      <c r="F43" s="12">
        <v>5</v>
      </c>
      <c r="G43" s="12">
        <v>19</v>
      </c>
      <c r="H43" s="12">
        <v>18103.330178022301</v>
      </c>
      <c r="I43" s="12">
        <v>8.5078239440917898</v>
      </c>
      <c r="J43" s="12">
        <v>18091.0582828521</v>
      </c>
      <c r="K43" s="12">
        <v>1415.4190891747401</v>
      </c>
      <c r="L43" s="12">
        <v>2.1223056008042099E-2</v>
      </c>
    </row>
    <row r="44" spans="1:12" x14ac:dyDescent="0.2">
      <c r="A44" s="11" t="s">
        <v>519</v>
      </c>
      <c r="B44" s="12" t="s">
        <v>36</v>
      </c>
      <c r="C44" s="12" t="s">
        <v>344</v>
      </c>
      <c r="D44" s="12">
        <v>100</v>
      </c>
      <c r="E44" s="12">
        <v>9</v>
      </c>
      <c r="F44" s="12">
        <v>5</v>
      </c>
      <c r="G44" s="12">
        <v>17</v>
      </c>
      <c r="H44" s="12">
        <v>18114.524888992299</v>
      </c>
      <c r="I44" s="12">
        <v>8.6333711147308296</v>
      </c>
      <c r="J44" s="12">
        <v>18102.091231107701</v>
      </c>
      <c r="K44" s="12">
        <v>1248.39675132293</v>
      </c>
      <c r="L44" s="12">
        <v>9.4582368194999697E-3</v>
      </c>
    </row>
    <row r="45" spans="1:12" x14ac:dyDescent="0.2">
      <c r="A45" s="11" t="s">
        <v>518</v>
      </c>
      <c r="B45" s="12" t="s">
        <v>36</v>
      </c>
      <c r="C45" s="12" t="s">
        <v>313</v>
      </c>
      <c r="D45" s="12">
        <v>100</v>
      </c>
      <c r="E45" s="12">
        <v>9</v>
      </c>
      <c r="F45" s="12">
        <v>5</v>
      </c>
      <c r="G45" s="12">
        <v>19</v>
      </c>
      <c r="H45" s="12">
        <v>18109.183350801399</v>
      </c>
      <c r="I45" s="12">
        <v>9.1273980140686</v>
      </c>
      <c r="J45" s="12">
        <v>18096.076886892301</v>
      </c>
      <c r="K45" s="12">
        <v>1314.16435935392</v>
      </c>
      <c r="L45" s="12">
        <v>1.0247417803933999E-2</v>
      </c>
    </row>
    <row r="46" spans="1:12" x14ac:dyDescent="0.2">
      <c r="A46" s="11" t="s">
        <v>518</v>
      </c>
      <c r="B46" s="12" t="s">
        <v>36</v>
      </c>
      <c r="C46" s="12" t="s">
        <v>346</v>
      </c>
      <c r="D46" s="12">
        <v>100</v>
      </c>
      <c r="E46" s="12">
        <v>9</v>
      </c>
      <c r="F46" s="12">
        <v>5</v>
      </c>
      <c r="G46" s="12">
        <v>16</v>
      </c>
      <c r="H46" s="12">
        <v>18098.488793134598</v>
      </c>
      <c r="I46" s="12">
        <v>8.6113531589508003</v>
      </c>
      <c r="J46" s="12">
        <v>18086.1008040905</v>
      </c>
      <c r="K46" s="12">
        <v>1278.7711529554999</v>
      </c>
      <c r="L46" s="12">
        <v>8.3820863675739196E-2</v>
      </c>
    </row>
    <row r="47" spans="1:12" x14ac:dyDescent="0.2">
      <c r="A47" s="11" t="s">
        <v>518</v>
      </c>
      <c r="B47" s="12" t="s">
        <v>36</v>
      </c>
      <c r="C47" s="12" t="s">
        <v>370</v>
      </c>
      <c r="D47" s="12">
        <v>100</v>
      </c>
      <c r="E47" s="12">
        <v>9</v>
      </c>
      <c r="F47" s="12">
        <v>5</v>
      </c>
      <c r="G47" s="12">
        <v>18</v>
      </c>
      <c r="H47" s="12">
        <v>18108.824836969299</v>
      </c>
      <c r="I47" s="12">
        <v>8.8208649158477694</v>
      </c>
      <c r="J47" s="12">
        <v>18096.1307251453</v>
      </c>
      <c r="K47" s="12">
        <v>1406.9023777433199</v>
      </c>
      <c r="L47" s="12">
        <v>6.6717892921803301E-2</v>
      </c>
    </row>
    <row r="48" spans="1:12" x14ac:dyDescent="0.2">
      <c r="A48" s="11" t="s">
        <v>519</v>
      </c>
      <c r="B48" s="12" t="s">
        <v>36</v>
      </c>
      <c r="C48" s="12" t="s">
        <v>315</v>
      </c>
      <c r="D48" s="12">
        <v>100</v>
      </c>
      <c r="E48" s="12">
        <v>9</v>
      </c>
      <c r="F48" s="12">
        <v>5</v>
      </c>
      <c r="G48" s="12">
        <v>18</v>
      </c>
      <c r="H48" s="12">
        <v>18112.697957992499</v>
      </c>
      <c r="I48" s="12">
        <v>8.9786739349365199</v>
      </c>
      <c r="J48" s="12">
        <v>18099.798730850202</v>
      </c>
      <c r="K48" s="12">
        <v>1428.7928010058399</v>
      </c>
      <c r="L48" s="12">
        <v>6.8003835018536796E-2</v>
      </c>
    </row>
    <row r="49" spans="1:12" x14ac:dyDescent="0.2">
      <c r="A49" s="11" t="s">
        <v>518</v>
      </c>
      <c r="B49" s="12" t="s">
        <v>36</v>
      </c>
      <c r="C49" s="12" t="s">
        <v>350</v>
      </c>
      <c r="D49" s="12">
        <v>100</v>
      </c>
      <c r="E49" s="12">
        <v>9</v>
      </c>
      <c r="F49" s="12">
        <v>5</v>
      </c>
      <c r="G49" s="12">
        <v>19</v>
      </c>
      <c r="H49" s="12">
        <v>18100.4091598987</v>
      </c>
      <c r="I49" s="12">
        <v>8.9758930206298793</v>
      </c>
      <c r="J49" s="12">
        <v>18087.494302034302</v>
      </c>
      <c r="K49" s="12">
        <v>1447.5988753934901</v>
      </c>
      <c r="L49" s="12">
        <v>0.114334520660167</v>
      </c>
    </row>
    <row r="50" spans="1:12" x14ac:dyDescent="0.2">
      <c r="A50" s="11" t="s">
        <v>519</v>
      </c>
      <c r="B50" s="12" t="s">
        <v>36</v>
      </c>
      <c r="C50" s="12" t="s">
        <v>353</v>
      </c>
      <c r="D50" s="12">
        <v>100</v>
      </c>
      <c r="E50" s="12">
        <v>9</v>
      </c>
      <c r="F50" s="12">
        <v>5</v>
      </c>
      <c r="G50" s="12">
        <v>18</v>
      </c>
      <c r="H50" s="12">
        <v>18113.722637176499</v>
      </c>
      <c r="I50" s="12">
        <v>8.7801530361175502</v>
      </c>
      <c r="J50" s="12">
        <v>18101.051084041501</v>
      </c>
      <c r="K50" s="12">
        <v>1326.60945859717</v>
      </c>
      <c r="L50" s="12">
        <v>5.4071482211355201E-2</v>
      </c>
    </row>
    <row r="51" spans="1:12" x14ac:dyDescent="0.2">
      <c r="A51" s="11" t="s">
        <v>518</v>
      </c>
      <c r="B51" s="12" t="s">
        <v>36</v>
      </c>
      <c r="C51" s="12" t="s">
        <v>318</v>
      </c>
      <c r="D51" s="12">
        <v>100</v>
      </c>
      <c r="E51" s="12">
        <v>9</v>
      </c>
      <c r="F51" s="12">
        <v>5</v>
      </c>
      <c r="G51" s="12">
        <v>18</v>
      </c>
      <c r="H51" s="12">
        <v>18092.200581073699</v>
      </c>
      <c r="I51" s="12">
        <v>8.5851299762725795</v>
      </c>
      <c r="J51" s="12">
        <v>18079.767635107</v>
      </c>
      <c r="K51" s="12">
        <v>1314.80156483668</v>
      </c>
      <c r="L51" s="12">
        <v>6.3369426113980901E-2</v>
      </c>
    </row>
    <row r="52" spans="1:12" x14ac:dyDescent="0.2">
      <c r="A52" s="11" t="s">
        <v>518</v>
      </c>
      <c r="B52" s="12" t="s">
        <v>36</v>
      </c>
      <c r="C52" s="12" t="s">
        <v>355</v>
      </c>
      <c r="D52" s="12">
        <v>100</v>
      </c>
      <c r="E52" s="12">
        <v>9</v>
      </c>
      <c r="F52" s="12">
        <v>5</v>
      </c>
      <c r="G52" s="12">
        <v>19</v>
      </c>
      <c r="H52" s="12">
        <v>18099.377171993201</v>
      </c>
      <c r="I52" s="12">
        <v>8.9736249446868896</v>
      </c>
      <c r="J52" s="12">
        <v>18086.460947990399</v>
      </c>
      <c r="K52" s="12">
        <v>1371.3379238303901</v>
      </c>
      <c r="L52" s="12">
        <v>7.0131233323028896E-2</v>
      </c>
    </row>
    <row r="53" spans="1:12" x14ac:dyDescent="0.2">
      <c r="A53" s="11" t="s">
        <v>519</v>
      </c>
      <c r="B53" s="12" t="s">
        <v>36</v>
      </c>
      <c r="C53" s="12" t="s">
        <v>358</v>
      </c>
      <c r="D53" s="12">
        <v>100</v>
      </c>
      <c r="E53" s="12">
        <v>9</v>
      </c>
      <c r="F53" s="12">
        <v>5</v>
      </c>
      <c r="G53" s="12">
        <v>17</v>
      </c>
      <c r="H53" s="12">
        <v>18111.511244058602</v>
      </c>
      <c r="I53" s="12">
        <v>8.9313559532165492</v>
      </c>
      <c r="J53" s="12">
        <v>18098.6405801773</v>
      </c>
      <c r="K53" s="12">
        <v>1310.0028630115501</v>
      </c>
      <c r="L53" s="12">
        <v>2.7189291193161502E-2</v>
      </c>
    </row>
    <row r="54" spans="1:12" x14ac:dyDescent="0.2">
      <c r="A54" s="11" t="s">
        <v>519</v>
      </c>
      <c r="B54" s="12" t="s">
        <v>36</v>
      </c>
      <c r="C54" s="12" t="s">
        <v>361</v>
      </c>
      <c r="D54" s="12">
        <v>100</v>
      </c>
      <c r="E54" s="12">
        <v>9</v>
      </c>
      <c r="F54" s="12">
        <v>5</v>
      </c>
      <c r="G54" s="12">
        <v>18</v>
      </c>
      <c r="H54" s="12">
        <v>18109.852485179901</v>
      </c>
      <c r="I54" s="12">
        <v>8.8196210861206001</v>
      </c>
      <c r="J54" s="12">
        <v>18097.100891113201</v>
      </c>
      <c r="K54" s="12">
        <v>1323.0356906822699</v>
      </c>
      <c r="L54" s="12">
        <v>9.6669975468466507E-2</v>
      </c>
    </row>
    <row r="55" spans="1:12" x14ac:dyDescent="0.2">
      <c r="A55" s="11" t="s">
        <v>519</v>
      </c>
      <c r="B55" s="12" t="s">
        <v>36</v>
      </c>
      <c r="C55" s="12" t="s">
        <v>364</v>
      </c>
      <c r="D55" s="12">
        <v>100</v>
      </c>
      <c r="E55" s="12">
        <v>9</v>
      </c>
      <c r="F55" s="12">
        <v>5</v>
      </c>
      <c r="G55" s="12">
        <v>18</v>
      </c>
      <c r="H55" s="12">
        <v>18086.172113895402</v>
      </c>
      <c r="I55" s="12">
        <v>8.5903398990631104</v>
      </c>
      <c r="J55" s="12">
        <v>18073.781940936999</v>
      </c>
      <c r="K55" s="12">
        <v>1262.8960730957201</v>
      </c>
      <c r="L55" s="12">
        <v>4.1273160477478497E-2</v>
      </c>
    </row>
    <row r="56" spans="1:12" x14ac:dyDescent="0.2">
      <c r="A56" s="11" t="s">
        <v>519</v>
      </c>
      <c r="B56" s="12" t="s">
        <v>36</v>
      </c>
      <c r="C56" s="12" t="s">
        <v>323</v>
      </c>
      <c r="D56" s="12">
        <v>100</v>
      </c>
      <c r="E56" s="12">
        <v>9</v>
      </c>
      <c r="F56" s="12">
        <v>5</v>
      </c>
      <c r="G56" s="12">
        <v>19</v>
      </c>
      <c r="H56" s="12">
        <v>18091.0948541164</v>
      </c>
      <c r="I56" s="12">
        <v>8.6252532005310005</v>
      </c>
      <c r="J56" s="12">
        <v>18078.716190099702</v>
      </c>
      <c r="K56" s="12">
        <v>1328.6790044652801</v>
      </c>
      <c r="L56" s="12">
        <v>1.9963333672751701E-2</v>
      </c>
    </row>
    <row r="57" spans="1:12" x14ac:dyDescent="0.2">
      <c r="A57" s="11" t="s">
        <v>519</v>
      </c>
      <c r="B57" s="12" t="s">
        <v>36</v>
      </c>
      <c r="C57" s="12" t="s">
        <v>325</v>
      </c>
      <c r="D57" s="12">
        <v>100</v>
      </c>
      <c r="E57" s="12">
        <v>9</v>
      </c>
      <c r="F57" s="12">
        <v>5</v>
      </c>
      <c r="G57" s="12">
        <v>18</v>
      </c>
      <c r="H57" s="12">
        <v>18087.241541147199</v>
      </c>
      <c r="I57" s="12">
        <v>8.5957741737365705</v>
      </c>
      <c r="J57" s="12">
        <v>18074.874634027401</v>
      </c>
      <c r="K57" s="12">
        <v>1363.87665492579</v>
      </c>
      <c r="L57" s="12">
        <v>3.5677120992587803E-2</v>
      </c>
    </row>
    <row r="58" spans="1:12" x14ac:dyDescent="0.2">
      <c r="A58" s="11" t="s">
        <v>519</v>
      </c>
      <c r="B58" s="12" t="s">
        <v>36</v>
      </c>
      <c r="C58" s="12" t="s">
        <v>328</v>
      </c>
      <c r="D58" s="12">
        <v>100</v>
      </c>
      <c r="E58" s="12">
        <v>9</v>
      </c>
      <c r="F58" s="12">
        <v>5</v>
      </c>
      <c r="G58" s="12">
        <v>17</v>
      </c>
      <c r="H58" s="12">
        <v>18102.005234003002</v>
      </c>
      <c r="I58" s="12">
        <v>8.6011059284210205</v>
      </c>
      <c r="J58" s="12">
        <v>18089.615990161801</v>
      </c>
      <c r="K58" s="12">
        <v>1327.9327482439701</v>
      </c>
      <c r="L58" s="12">
        <v>1.3425176844279201E-2</v>
      </c>
    </row>
    <row r="59" spans="1:12" x14ac:dyDescent="0.2">
      <c r="A59" s="11" t="s">
        <v>520</v>
      </c>
      <c r="B59" s="12" t="s">
        <v>36</v>
      </c>
      <c r="C59" s="12" t="s">
        <v>366</v>
      </c>
      <c r="D59" s="12">
        <v>100</v>
      </c>
      <c r="E59" s="12">
        <v>9</v>
      </c>
      <c r="F59" s="12">
        <v>5</v>
      </c>
      <c r="G59" s="12">
        <v>19</v>
      </c>
      <c r="H59" s="12">
        <v>18100.409657001401</v>
      </c>
      <c r="I59" s="12">
        <v>8.6023421287536603</v>
      </c>
      <c r="J59" s="12">
        <v>18088.055467128699</v>
      </c>
      <c r="K59" s="12">
        <v>1350.3754898903401</v>
      </c>
      <c r="L59" s="12">
        <v>8.4118892812746499E-3</v>
      </c>
    </row>
    <row r="60" spans="1:12" x14ac:dyDescent="0.2">
      <c r="A60" s="11" t="s">
        <v>521</v>
      </c>
      <c r="B60" s="12" t="s">
        <v>36</v>
      </c>
      <c r="C60" s="12" t="s">
        <v>332</v>
      </c>
      <c r="D60" s="12">
        <v>100</v>
      </c>
      <c r="E60" s="12">
        <v>9</v>
      </c>
      <c r="F60" s="12">
        <v>5</v>
      </c>
      <c r="G60" s="12">
        <v>19</v>
      </c>
      <c r="H60" s="12">
        <v>18095.593381881699</v>
      </c>
      <c r="I60" s="12">
        <v>8.6379268169403005</v>
      </c>
      <c r="J60" s="12">
        <v>18083.125968933098</v>
      </c>
      <c r="K60" s="12">
        <v>1314.16435935392</v>
      </c>
      <c r="L60" s="12">
        <v>1.0140060618581999E-2</v>
      </c>
    </row>
    <row r="61" spans="1:12" x14ac:dyDescent="0.2">
      <c r="A61" s="11" t="s">
        <v>515</v>
      </c>
      <c r="B61" s="12" t="s">
        <v>514</v>
      </c>
      <c r="C61" s="12" t="s">
        <v>102</v>
      </c>
      <c r="D61" s="12">
        <v>15</v>
      </c>
      <c r="E61" s="12">
        <v>9</v>
      </c>
      <c r="F61" s="12">
        <v>5</v>
      </c>
      <c r="G61" s="12">
        <v>3</v>
      </c>
      <c r="H61" s="12">
        <v>34.712698936462402</v>
      </c>
      <c r="I61" s="12">
        <v>9.1997900009155202</v>
      </c>
      <c r="J61" s="12">
        <v>23.115303993225002</v>
      </c>
      <c r="K61" s="12">
        <v>441.86722580548701</v>
      </c>
      <c r="L61" s="12" t="s">
        <v>333</v>
      </c>
    </row>
    <row r="62" spans="1:12" x14ac:dyDescent="0.2">
      <c r="A62" s="11" t="s">
        <v>516</v>
      </c>
      <c r="B62" s="12" t="s">
        <v>514</v>
      </c>
      <c r="C62" s="12" t="s">
        <v>105</v>
      </c>
      <c r="D62" s="12">
        <v>20</v>
      </c>
      <c r="E62" s="12">
        <v>4</v>
      </c>
      <c r="F62" s="12">
        <v>2</v>
      </c>
      <c r="G62" s="12">
        <v>5</v>
      </c>
      <c r="H62" s="12">
        <v>25.653460979461599</v>
      </c>
      <c r="I62" s="12">
        <v>9.3567650318145699</v>
      </c>
      <c r="J62" s="12">
        <v>13.8564088344573</v>
      </c>
      <c r="K62" s="12">
        <v>495.99140802976802</v>
      </c>
      <c r="L62" s="12" t="s">
        <v>333</v>
      </c>
    </row>
    <row r="63" spans="1:12" x14ac:dyDescent="0.2">
      <c r="A63" s="11" t="s">
        <v>516</v>
      </c>
      <c r="B63" s="12" t="s">
        <v>514</v>
      </c>
      <c r="C63" s="12" t="s">
        <v>106</v>
      </c>
      <c r="D63" s="12">
        <v>20</v>
      </c>
      <c r="E63" s="12">
        <v>4</v>
      </c>
      <c r="F63" s="12">
        <v>2</v>
      </c>
      <c r="G63" s="12">
        <v>5</v>
      </c>
      <c r="H63" s="12">
        <v>25.009536981582599</v>
      </c>
      <c r="I63" s="12">
        <v>9.2779278755187899</v>
      </c>
      <c r="J63" s="12">
        <v>13.3011980056762</v>
      </c>
      <c r="K63" s="12">
        <v>466.89430133526702</v>
      </c>
      <c r="L63" s="12" t="s">
        <v>333</v>
      </c>
    </row>
    <row r="64" spans="1:12" x14ac:dyDescent="0.2">
      <c r="A64" s="11" t="s">
        <v>516</v>
      </c>
      <c r="B64" s="12" t="s">
        <v>514</v>
      </c>
      <c r="C64" s="12" t="s">
        <v>107</v>
      </c>
      <c r="D64" s="12">
        <v>20</v>
      </c>
      <c r="E64" s="12">
        <v>4</v>
      </c>
      <c r="F64" s="12">
        <v>2</v>
      </c>
      <c r="G64" s="12">
        <v>5</v>
      </c>
      <c r="H64" s="12">
        <v>29.647001981735201</v>
      </c>
      <c r="I64" s="12">
        <v>9.3753809928894007</v>
      </c>
      <c r="J64" s="12">
        <v>17.833314180374099</v>
      </c>
      <c r="K64" s="12">
        <v>555.06962319502895</v>
      </c>
      <c r="L64" s="12" t="s">
        <v>333</v>
      </c>
    </row>
    <row r="65" spans="1:12" x14ac:dyDescent="0.2">
      <c r="A65" s="11" t="s">
        <v>516</v>
      </c>
      <c r="B65" s="12" t="s">
        <v>514</v>
      </c>
      <c r="C65" s="12" t="s">
        <v>108</v>
      </c>
      <c r="D65" s="12">
        <v>20</v>
      </c>
      <c r="E65" s="12">
        <v>4</v>
      </c>
      <c r="F65" s="12">
        <v>2</v>
      </c>
      <c r="G65" s="12">
        <v>4</v>
      </c>
      <c r="H65" s="12">
        <v>18.852298974990799</v>
      </c>
      <c r="I65" s="12">
        <v>9.4119110107421804</v>
      </c>
      <c r="J65" s="12">
        <v>6.9650518894195503</v>
      </c>
      <c r="K65" s="12">
        <v>555.33712090233098</v>
      </c>
      <c r="L65" s="12" t="s">
        <v>333</v>
      </c>
    </row>
    <row r="66" spans="1:12" x14ac:dyDescent="0.2">
      <c r="A66" s="11" t="s">
        <v>516</v>
      </c>
      <c r="B66" s="12" t="s">
        <v>514</v>
      </c>
      <c r="C66" s="12" t="s">
        <v>109</v>
      </c>
      <c r="D66" s="12">
        <v>20</v>
      </c>
      <c r="E66" s="12">
        <v>4</v>
      </c>
      <c r="F66" s="12">
        <v>2</v>
      </c>
      <c r="G66" s="12">
        <v>5</v>
      </c>
      <c r="H66" s="12">
        <v>27.7102420330047</v>
      </c>
      <c r="I66" s="12">
        <v>9.2776079177856392</v>
      </c>
      <c r="J66" s="12">
        <v>16.000119924545199</v>
      </c>
      <c r="K66" s="12">
        <v>529.082991407706</v>
      </c>
      <c r="L66" s="12" t="s">
        <v>333</v>
      </c>
    </row>
    <row r="67" spans="1:12" x14ac:dyDescent="0.2">
      <c r="A67" s="11" t="s">
        <v>516</v>
      </c>
      <c r="B67" s="12" t="s">
        <v>514</v>
      </c>
      <c r="C67" s="12" t="s">
        <v>110</v>
      </c>
      <c r="D67" s="12">
        <v>20</v>
      </c>
      <c r="E67" s="12">
        <v>4</v>
      </c>
      <c r="F67" s="12">
        <v>2</v>
      </c>
      <c r="G67" s="12">
        <v>5</v>
      </c>
      <c r="H67" s="12">
        <v>28.1715569496154</v>
      </c>
      <c r="I67" s="12">
        <v>9.41513895988464</v>
      </c>
      <c r="J67" s="12">
        <v>16.304056882858202</v>
      </c>
      <c r="K67" s="12">
        <v>489.27170313400302</v>
      </c>
      <c r="L67" s="12" t="s">
        <v>333</v>
      </c>
    </row>
    <row r="68" spans="1:12" x14ac:dyDescent="0.2">
      <c r="A68" s="11" t="s">
        <v>516</v>
      </c>
      <c r="B68" s="12" t="s">
        <v>514</v>
      </c>
      <c r="C68" s="12" t="s">
        <v>111</v>
      </c>
      <c r="D68" s="12">
        <v>20</v>
      </c>
      <c r="E68" s="12">
        <v>4</v>
      </c>
      <c r="F68" s="12">
        <v>2</v>
      </c>
      <c r="G68" s="12">
        <v>5</v>
      </c>
      <c r="H68" s="12">
        <v>38.939103841781602</v>
      </c>
      <c r="I68" s="12">
        <v>9.2771508693694997</v>
      </c>
      <c r="J68" s="12">
        <v>27.231549978256201</v>
      </c>
      <c r="K68" s="12">
        <v>529.18694520353597</v>
      </c>
      <c r="L68" s="12" t="s">
        <v>333</v>
      </c>
    </row>
    <row r="69" spans="1:12" x14ac:dyDescent="0.2">
      <c r="A69" s="11" t="s">
        <v>517</v>
      </c>
      <c r="B69" s="12" t="s">
        <v>514</v>
      </c>
      <c r="C69" s="12" t="s">
        <v>112</v>
      </c>
      <c r="D69" s="12">
        <v>20</v>
      </c>
      <c r="E69" s="12">
        <v>4</v>
      </c>
      <c r="F69" s="12">
        <v>2</v>
      </c>
      <c r="G69" s="12">
        <v>5</v>
      </c>
      <c r="H69" s="12">
        <v>87.245290994644094</v>
      </c>
      <c r="I69" s="12">
        <v>9.2835559844970703</v>
      </c>
      <c r="J69" s="12">
        <v>75.531668901443396</v>
      </c>
      <c r="K69" s="12">
        <v>580.93462778937806</v>
      </c>
      <c r="L69" s="12" t="s">
        <v>333</v>
      </c>
    </row>
    <row r="70" spans="1:12" x14ac:dyDescent="0.2">
      <c r="A70" s="11" t="s">
        <v>516</v>
      </c>
      <c r="B70" s="12" t="s">
        <v>514</v>
      </c>
      <c r="C70" s="12" t="s">
        <v>113</v>
      </c>
      <c r="D70" s="12">
        <v>20</v>
      </c>
      <c r="E70" s="12">
        <v>4</v>
      </c>
      <c r="F70" s="12">
        <v>2</v>
      </c>
      <c r="G70" s="12">
        <v>5</v>
      </c>
      <c r="H70" s="12">
        <v>66.391016006469698</v>
      </c>
      <c r="I70" s="12">
        <v>9.2775208950042707</v>
      </c>
      <c r="J70" s="12">
        <v>54.683066129684399</v>
      </c>
      <c r="K70" s="12">
        <v>615.26714892762095</v>
      </c>
      <c r="L70" s="12" t="s">
        <v>333</v>
      </c>
    </row>
    <row r="71" spans="1:12" x14ac:dyDescent="0.2">
      <c r="A71" s="11" t="s">
        <v>516</v>
      </c>
      <c r="B71" s="12" t="s">
        <v>514</v>
      </c>
      <c r="C71" s="12" t="s">
        <v>114</v>
      </c>
      <c r="D71" s="12">
        <v>20</v>
      </c>
      <c r="E71" s="12">
        <v>4</v>
      </c>
      <c r="F71" s="12">
        <v>2</v>
      </c>
      <c r="G71" s="12">
        <v>6</v>
      </c>
      <c r="H71" s="12">
        <v>34.480517864227203</v>
      </c>
      <c r="I71" s="12">
        <v>9.5176458358764595</v>
      </c>
      <c r="J71" s="12">
        <v>22.542246103286701</v>
      </c>
      <c r="K71" s="12">
        <v>585.96342202030803</v>
      </c>
      <c r="L71" s="12" t="s">
        <v>333</v>
      </c>
    </row>
    <row r="72" spans="1:12" x14ac:dyDescent="0.2">
      <c r="A72" s="11" t="s">
        <v>516</v>
      </c>
      <c r="B72" s="12" t="s">
        <v>514</v>
      </c>
      <c r="C72" s="12" t="s">
        <v>115</v>
      </c>
      <c r="D72" s="12">
        <v>20</v>
      </c>
      <c r="E72" s="12">
        <v>4</v>
      </c>
      <c r="F72" s="12">
        <v>2</v>
      </c>
      <c r="G72" s="12">
        <v>5</v>
      </c>
      <c r="H72" s="12">
        <v>47.600116014480498</v>
      </c>
      <c r="I72" s="12">
        <v>8.9736189842224103</v>
      </c>
      <c r="J72" s="12">
        <v>36.279230833053496</v>
      </c>
      <c r="K72" s="12">
        <v>483.07088092428398</v>
      </c>
      <c r="L72" s="12" t="s">
        <v>333</v>
      </c>
    </row>
    <row r="73" spans="1:12" x14ac:dyDescent="0.2">
      <c r="A73" s="11" t="s">
        <v>516</v>
      </c>
      <c r="B73" s="12" t="s">
        <v>514</v>
      </c>
      <c r="C73" s="12" t="s">
        <v>118</v>
      </c>
      <c r="D73" s="12">
        <v>20</v>
      </c>
      <c r="E73" s="12">
        <v>4</v>
      </c>
      <c r="F73" s="12">
        <v>2</v>
      </c>
      <c r="G73" s="12">
        <v>5</v>
      </c>
      <c r="H73" s="12">
        <v>33.4673619270324</v>
      </c>
      <c r="I73" s="12">
        <v>8.9934298992156894</v>
      </c>
      <c r="J73" s="12">
        <v>22.125585079193101</v>
      </c>
      <c r="K73" s="12">
        <v>547.64718959015102</v>
      </c>
      <c r="L73" s="12" t="s">
        <v>333</v>
      </c>
    </row>
    <row r="74" spans="1:12" x14ac:dyDescent="0.2">
      <c r="A74" s="11" t="s">
        <v>516</v>
      </c>
      <c r="B74" s="12" t="s">
        <v>514</v>
      </c>
      <c r="C74" s="12" t="s">
        <v>119</v>
      </c>
      <c r="D74" s="12">
        <v>20</v>
      </c>
      <c r="E74" s="12">
        <v>4</v>
      </c>
      <c r="F74" s="12">
        <v>2</v>
      </c>
      <c r="G74" s="12">
        <v>5</v>
      </c>
      <c r="H74" s="12">
        <v>39.391205787658599</v>
      </c>
      <c r="I74" s="12">
        <v>9.0327568054199201</v>
      </c>
      <c r="J74" s="12">
        <v>27.9971809387207</v>
      </c>
      <c r="K74" s="12">
        <v>588.26765989554303</v>
      </c>
      <c r="L74" s="12" t="s">
        <v>333</v>
      </c>
    </row>
    <row r="75" spans="1:12" x14ac:dyDescent="0.2">
      <c r="A75" s="11" t="s">
        <v>516</v>
      </c>
      <c r="B75" s="12" t="s">
        <v>514</v>
      </c>
      <c r="C75" s="12" t="s">
        <v>120</v>
      </c>
      <c r="D75" s="12">
        <v>20</v>
      </c>
      <c r="E75" s="12">
        <v>4</v>
      </c>
      <c r="F75" s="12">
        <v>2</v>
      </c>
      <c r="G75" s="12">
        <v>5</v>
      </c>
      <c r="H75" s="12">
        <v>28.569408893585202</v>
      </c>
      <c r="I75" s="12">
        <v>9.1003158092498708</v>
      </c>
      <c r="J75" s="12">
        <v>17.1024360656738</v>
      </c>
      <c r="K75" s="12">
        <v>491.26158250145602</v>
      </c>
      <c r="L75" s="12" t="s">
        <v>333</v>
      </c>
    </row>
    <row r="76" spans="1:12" x14ac:dyDescent="0.2">
      <c r="A76" s="11" t="s">
        <v>516</v>
      </c>
      <c r="B76" s="12" t="s">
        <v>514</v>
      </c>
      <c r="C76" s="12" t="s">
        <v>121</v>
      </c>
      <c r="D76" s="12">
        <v>20</v>
      </c>
      <c r="E76" s="12">
        <v>4</v>
      </c>
      <c r="F76" s="12">
        <v>2</v>
      </c>
      <c r="G76" s="12">
        <v>5</v>
      </c>
      <c r="H76" s="12">
        <v>15.821429014205901</v>
      </c>
      <c r="I76" s="12">
        <v>9.0419049263000399</v>
      </c>
      <c r="J76" s="12">
        <v>4.4236080646514804</v>
      </c>
      <c r="K76" s="12">
        <v>490.162718046968</v>
      </c>
      <c r="L76" s="12" t="s">
        <v>333</v>
      </c>
    </row>
    <row r="77" spans="1:12" x14ac:dyDescent="0.2">
      <c r="A77" s="11" t="s">
        <v>516</v>
      </c>
      <c r="B77" s="12" t="s">
        <v>514</v>
      </c>
      <c r="C77" s="12" t="s">
        <v>122</v>
      </c>
      <c r="D77" s="12">
        <v>20</v>
      </c>
      <c r="E77" s="12">
        <v>4</v>
      </c>
      <c r="F77" s="12">
        <v>2</v>
      </c>
      <c r="G77" s="12">
        <v>5</v>
      </c>
      <c r="H77" s="12">
        <v>59.169405937194803</v>
      </c>
      <c r="I77" s="12">
        <v>8.9983689785003609</v>
      </c>
      <c r="J77" s="12">
        <v>47.827548980712798</v>
      </c>
      <c r="K77" s="12">
        <v>500.68227710364198</v>
      </c>
      <c r="L77" s="12" t="s">
        <v>333</v>
      </c>
    </row>
    <row r="78" spans="1:12" x14ac:dyDescent="0.2">
      <c r="A78" s="11" t="s">
        <v>516</v>
      </c>
      <c r="B78" s="12" t="s">
        <v>514</v>
      </c>
      <c r="C78" s="12" t="s">
        <v>123</v>
      </c>
      <c r="D78" s="12">
        <v>20</v>
      </c>
      <c r="E78" s="12">
        <v>4</v>
      </c>
      <c r="F78" s="12">
        <v>2</v>
      </c>
      <c r="G78" s="12">
        <v>5</v>
      </c>
      <c r="H78" s="12">
        <v>31.938375949859601</v>
      </c>
      <c r="I78" s="12">
        <v>9.0016419887542707</v>
      </c>
      <c r="J78" s="12">
        <v>20.594542980193999</v>
      </c>
      <c r="K78" s="12">
        <v>556.57407709585505</v>
      </c>
      <c r="L78" s="12" t="s">
        <v>333</v>
      </c>
    </row>
    <row r="79" spans="1:12" x14ac:dyDescent="0.2">
      <c r="A79" s="11" t="s">
        <v>516</v>
      </c>
      <c r="B79" s="12" t="s">
        <v>514</v>
      </c>
      <c r="C79" s="12" t="s">
        <v>124</v>
      </c>
      <c r="D79" s="12">
        <v>20</v>
      </c>
      <c r="E79" s="12">
        <v>4</v>
      </c>
      <c r="F79" s="12">
        <v>2</v>
      </c>
      <c r="G79" s="12">
        <v>5</v>
      </c>
      <c r="H79" s="12">
        <v>15.520751953125</v>
      </c>
      <c r="I79" s="12">
        <v>9.0158219337463308</v>
      </c>
      <c r="J79" s="12">
        <v>4.1550428867339999</v>
      </c>
      <c r="K79" s="12">
        <v>592.85294895348704</v>
      </c>
      <c r="L79" s="12" t="s">
        <v>333</v>
      </c>
    </row>
    <row r="80" spans="1:12" x14ac:dyDescent="0.2">
      <c r="A80" s="11" t="s">
        <v>516</v>
      </c>
      <c r="B80" s="12" t="s">
        <v>514</v>
      </c>
      <c r="C80" s="12" t="s">
        <v>125</v>
      </c>
      <c r="D80" s="12">
        <v>20</v>
      </c>
      <c r="E80" s="12">
        <v>4</v>
      </c>
      <c r="F80" s="12">
        <v>2</v>
      </c>
      <c r="G80" s="12">
        <v>5</v>
      </c>
      <c r="H80" s="12">
        <v>14.781965017318701</v>
      </c>
      <c r="I80" s="12">
        <v>9.0564398765563894</v>
      </c>
      <c r="J80" s="12">
        <v>3.3633790016174299</v>
      </c>
      <c r="K80" s="12">
        <v>510.515527416113</v>
      </c>
      <c r="L80" s="12" t="s">
        <v>333</v>
      </c>
    </row>
    <row r="81" spans="1:12" x14ac:dyDescent="0.2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x14ac:dyDescent="0.2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</sheetData>
  <sortState xmlns:xlrd2="http://schemas.microsoft.com/office/spreadsheetml/2017/richdata2" ref="A2:L60">
    <sortCondition ref="E2:E60"/>
    <sortCondition ref="C2:C60"/>
    <sortCondition ref="D2:D6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A9A4-E382-A949-81FD-EC7FE3D10E02}">
  <dimension ref="A1:U307"/>
  <sheetViews>
    <sheetView tabSelected="1" zoomScale="114" workbookViewId="0">
      <pane ySplit="1" topLeftCell="A65" activePane="bottomLeft" state="frozen"/>
      <selection pane="bottomLeft" activeCell="Q62" sqref="Q62:R62"/>
    </sheetView>
  </sheetViews>
  <sheetFormatPr baseColWidth="10" defaultRowHeight="16" x14ac:dyDescent="0.2"/>
  <cols>
    <col min="1" max="2" width="2.83203125" customWidth="1"/>
    <col min="5" max="7" width="2.83203125" customWidth="1"/>
    <col min="9" max="13" width="2.83203125" customWidth="1"/>
    <col min="16" max="16" width="12.6640625" bestFit="1" customWidth="1"/>
    <col min="17" max="17" width="12" bestFit="1" customWidth="1"/>
    <col min="18" max="18" width="12.33203125" bestFit="1" customWidth="1"/>
  </cols>
  <sheetData>
    <row r="1" spans="1:20" x14ac:dyDescent="0.2">
      <c r="H1">
        <f t="shared" ref="H1:O1" si="0">AVERAGE(H2:H183)</f>
        <v>61.705795403584958</v>
      </c>
      <c r="I1">
        <f t="shared" si="0"/>
        <v>5.564122888211112</v>
      </c>
      <c r="J1">
        <f t="shared" si="0"/>
        <v>56.323725371131808</v>
      </c>
      <c r="K1">
        <f t="shared" si="0"/>
        <v>20.310343796700003</v>
      </c>
      <c r="L1">
        <f t="shared" si="0"/>
        <v>5.2824568180166622</v>
      </c>
      <c r="M1">
        <f t="shared" si="0"/>
        <v>34.88031845233332</v>
      </c>
      <c r="N1">
        <f t="shared" si="0"/>
        <v>469.43730919622266</v>
      </c>
      <c r="O1" t="e">
        <f t="shared" si="0"/>
        <v>#DIV/0!</v>
      </c>
      <c r="P1" t="s">
        <v>759</v>
      </c>
      <c r="Q1" t="s">
        <v>760</v>
      </c>
      <c r="R1" t="s">
        <v>761</v>
      </c>
      <c r="S1">
        <f t="shared" ref="R1:T1" si="1">AVERAGE(S2:S183)</f>
        <v>47.479829883092407</v>
      </c>
      <c r="T1">
        <f t="shared" si="1"/>
        <v>-14.31276181141533</v>
      </c>
    </row>
    <row r="2" spans="1:20" x14ac:dyDescent="0.2">
      <c r="A2" s="11" t="s">
        <v>522</v>
      </c>
      <c r="B2" s="11" t="s">
        <v>34</v>
      </c>
      <c r="C2" s="11" t="s">
        <v>44</v>
      </c>
      <c r="D2" s="11">
        <v>15</v>
      </c>
      <c r="E2" s="11">
        <v>4</v>
      </c>
      <c r="F2" s="11">
        <v>2</v>
      </c>
      <c r="G2" s="11">
        <v>4</v>
      </c>
      <c r="H2" s="11">
        <v>16.188012838363601</v>
      </c>
      <c r="I2" s="11">
        <v>5.6670254799999897</v>
      </c>
      <c r="J2" s="11">
        <v>10.5209873583636</v>
      </c>
      <c r="K2" s="11">
        <v>11.366320913999999</v>
      </c>
      <c r="L2" s="11">
        <v>3.4253225280000001</v>
      </c>
      <c r="M2" s="11">
        <v>1.1640499E-2</v>
      </c>
      <c r="N2" s="11">
        <v>444.27821355770499</v>
      </c>
      <c r="O2" s="11" t="s">
        <v>333</v>
      </c>
      <c r="P2" s="11">
        <v>3</v>
      </c>
      <c r="Q2" s="11">
        <v>3</v>
      </c>
      <c r="R2" s="11">
        <v>3</v>
      </c>
      <c r="S2" s="11">
        <v>16.2368309497833</v>
      </c>
      <c r="T2">
        <f t="shared" ref="T2:T65" si="2">S2-H2</f>
        <v>4.8818111419699051E-2</v>
      </c>
    </row>
    <row r="3" spans="1:20" x14ac:dyDescent="0.2">
      <c r="A3" s="11" t="s">
        <v>526</v>
      </c>
      <c r="B3" s="12" t="s">
        <v>34</v>
      </c>
      <c r="C3" s="12" t="s">
        <v>45</v>
      </c>
      <c r="D3" s="12">
        <v>15</v>
      </c>
      <c r="E3" s="12">
        <v>7</v>
      </c>
      <c r="F3" s="12">
        <v>4</v>
      </c>
      <c r="G3" s="12">
        <v>3</v>
      </c>
      <c r="H3" s="12">
        <v>17.405007123947101</v>
      </c>
      <c r="I3" s="12">
        <v>5.6535747729999999</v>
      </c>
      <c r="J3" s="12">
        <v>11.7514323509471</v>
      </c>
      <c r="K3" s="12">
        <v>11.835343575</v>
      </c>
      <c r="L3" s="12">
        <v>4.3347050170000001</v>
      </c>
      <c r="M3" s="12">
        <v>0</v>
      </c>
      <c r="N3" s="12">
        <v>404.26001495053998</v>
      </c>
      <c r="O3" s="12" t="s">
        <v>333</v>
      </c>
      <c r="P3" s="12">
        <v>21</v>
      </c>
      <c r="Q3" s="12">
        <v>21</v>
      </c>
      <c r="R3" s="12">
        <v>21</v>
      </c>
      <c r="S3" s="12">
        <v>17.169485092163001</v>
      </c>
      <c r="T3">
        <f t="shared" si="2"/>
        <v>-0.23552203178410025</v>
      </c>
    </row>
    <row r="4" spans="1:20" x14ac:dyDescent="0.2">
      <c r="A4" s="11" t="s">
        <v>530</v>
      </c>
      <c r="B4" s="12" t="s">
        <v>34</v>
      </c>
      <c r="C4" s="12" t="s">
        <v>46</v>
      </c>
      <c r="D4" s="12">
        <v>15</v>
      </c>
      <c r="E4" s="12">
        <v>9</v>
      </c>
      <c r="F4" s="12">
        <v>5</v>
      </c>
      <c r="G4" s="12">
        <v>3</v>
      </c>
      <c r="H4" s="12">
        <v>28.224398136138898</v>
      </c>
      <c r="I4" s="12">
        <v>5.6697821749999999</v>
      </c>
      <c r="J4" s="12">
        <v>22.5546159611389</v>
      </c>
      <c r="K4" s="12">
        <v>17.407134201000002</v>
      </c>
      <c r="L4" s="12">
        <v>2.6836959280000001</v>
      </c>
      <c r="M4" s="12">
        <v>6.7151053100000002</v>
      </c>
      <c r="N4" s="12">
        <v>423.66545885005002</v>
      </c>
      <c r="O4" s="12" t="s">
        <v>333</v>
      </c>
      <c r="P4" s="12">
        <v>15</v>
      </c>
      <c r="Q4" s="12">
        <v>13</v>
      </c>
      <c r="R4" s="12">
        <v>15</v>
      </c>
      <c r="S4" s="12">
        <v>28.1690511703491</v>
      </c>
      <c r="T4">
        <f t="shared" si="2"/>
        <v>-5.5346965789798475E-2</v>
      </c>
    </row>
    <row r="5" spans="1:20" x14ac:dyDescent="0.2">
      <c r="A5" s="11" t="s">
        <v>534</v>
      </c>
      <c r="B5" s="12" t="s">
        <v>34</v>
      </c>
      <c r="C5" s="12" t="s">
        <v>47</v>
      </c>
      <c r="D5" s="12">
        <v>15</v>
      </c>
      <c r="E5" s="12">
        <v>4</v>
      </c>
      <c r="F5" s="12">
        <v>2</v>
      </c>
      <c r="G5" s="12">
        <v>5</v>
      </c>
      <c r="H5" s="12">
        <v>21.648705005645699</v>
      </c>
      <c r="I5" s="12">
        <v>5.6427620379999999</v>
      </c>
      <c r="J5" s="12">
        <v>16.005942967645701</v>
      </c>
      <c r="K5" s="12">
        <v>11.402577765</v>
      </c>
      <c r="L5" s="12">
        <v>2.4438226709999999</v>
      </c>
      <c r="M5" s="12">
        <v>6.415054799</v>
      </c>
      <c r="N5" s="12">
        <v>381.38661991924999</v>
      </c>
      <c r="O5" s="12" t="s">
        <v>333</v>
      </c>
      <c r="P5" s="12">
        <v>25</v>
      </c>
      <c r="Q5" s="12">
        <v>15</v>
      </c>
      <c r="R5" s="12">
        <v>15</v>
      </c>
      <c r="S5" s="12">
        <v>22.568853855133</v>
      </c>
      <c r="T5">
        <f t="shared" si="2"/>
        <v>0.92014884948730113</v>
      </c>
    </row>
    <row r="6" spans="1:20" x14ac:dyDescent="0.2">
      <c r="A6" s="11" t="s">
        <v>538</v>
      </c>
      <c r="B6" s="12" t="s">
        <v>34</v>
      </c>
      <c r="C6" s="12" t="s">
        <v>48</v>
      </c>
      <c r="D6" s="12">
        <v>15</v>
      </c>
      <c r="E6" s="12">
        <v>7</v>
      </c>
      <c r="F6" s="12">
        <v>4</v>
      </c>
      <c r="G6" s="12">
        <v>4</v>
      </c>
      <c r="H6" s="12">
        <v>17.232874870300201</v>
      </c>
      <c r="I6" s="12">
        <v>5.6939079760000002</v>
      </c>
      <c r="J6" s="12">
        <v>11.5389668943002</v>
      </c>
      <c r="K6" s="12">
        <v>11.812433537</v>
      </c>
      <c r="L6" s="12">
        <v>4.0080012170000003</v>
      </c>
      <c r="M6" s="12">
        <v>1.3181349E-2</v>
      </c>
      <c r="N6" s="12">
        <v>376.67449743063401</v>
      </c>
      <c r="O6" s="12" t="s">
        <v>333</v>
      </c>
      <c r="P6" s="12">
        <v>13</v>
      </c>
      <c r="Q6" s="12">
        <v>13</v>
      </c>
      <c r="R6" s="12">
        <v>13</v>
      </c>
      <c r="S6" s="12">
        <v>17.041434049606298</v>
      </c>
      <c r="T6">
        <f t="shared" si="2"/>
        <v>-0.19144082069390223</v>
      </c>
    </row>
    <row r="7" spans="1:20" x14ac:dyDescent="0.2">
      <c r="A7" s="11" t="s">
        <v>542</v>
      </c>
      <c r="B7" s="12" t="s">
        <v>34</v>
      </c>
      <c r="C7" s="12" t="s">
        <v>49</v>
      </c>
      <c r="D7" s="12">
        <v>15</v>
      </c>
      <c r="E7" s="12">
        <v>9</v>
      </c>
      <c r="F7" s="12">
        <v>5</v>
      </c>
      <c r="G7" s="12">
        <v>3</v>
      </c>
      <c r="H7" s="12">
        <v>28.309490919113099</v>
      </c>
      <c r="I7" s="12">
        <v>5.6732872289999996</v>
      </c>
      <c r="J7" s="12">
        <v>22.636203690113099</v>
      </c>
      <c r="K7" s="12">
        <v>17.174364194999999</v>
      </c>
      <c r="L7" s="12">
        <v>2.7341560509999998</v>
      </c>
      <c r="M7" s="12">
        <v>6.979601562</v>
      </c>
      <c r="N7" s="12">
        <v>416.41796001933699</v>
      </c>
      <c r="O7" s="12" t="s">
        <v>333</v>
      </c>
      <c r="P7" s="12">
        <v>19</v>
      </c>
      <c r="Q7" s="12">
        <v>21</v>
      </c>
      <c r="R7" s="12">
        <v>25</v>
      </c>
      <c r="S7" s="12">
        <v>28.378216028213501</v>
      </c>
      <c r="T7">
        <f t="shared" si="2"/>
        <v>6.8725109100402193E-2</v>
      </c>
    </row>
    <row r="8" spans="1:20" x14ac:dyDescent="0.2">
      <c r="A8" s="11" t="s">
        <v>546</v>
      </c>
      <c r="B8" s="12" t="s">
        <v>34</v>
      </c>
      <c r="C8" s="12" t="s">
        <v>50</v>
      </c>
      <c r="D8" s="12">
        <v>15</v>
      </c>
      <c r="E8" s="12">
        <v>4</v>
      </c>
      <c r="F8" s="12">
        <v>2</v>
      </c>
      <c r="G8" s="12">
        <v>4</v>
      </c>
      <c r="H8" s="12">
        <v>22.524009943008402</v>
      </c>
      <c r="I8" s="12">
        <v>5.6094988619999997</v>
      </c>
      <c r="J8" s="12">
        <v>16.914511081008399</v>
      </c>
      <c r="K8" s="12">
        <v>11.383783976</v>
      </c>
      <c r="L8" s="12">
        <v>2.5643279450000001</v>
      </c>
      <c r="M8" s="12">
        <v>7.1909163850000004</v>
      </c>
      <c r="N8" s="12">
        <v>415.03958516696702</v>
      </c>
      <c r="O8" s="12" t="s">
        <v>333</v>
      </c>
      <c r="P8" s="12">
        <v>37</v>
      </c>
      <c r="Q8" s="12">
        <v>25</v>
      </c>
      <c r="R8" s="12">
        <v>31</v>
      </c>
      <c r="S8" s="12">
        <v>22.5449991226196</v>
      </c>
      <c r="T8">
        <f t="shared" si="2"/>
        <v>2.0989179611198949E-2</v>
      </c>
    </row>
    <row r="9" spans="1:20" x14ac:dyDescent="0.2">
      <c r="A9" s="11" t="s">
        <v>550</v>
      </c>
      <c r="B9" s="12" t="s">
        <v>34</v>
      </c>
      <c r="C9" s="12" t="s">
        <v>51</v>
      </c>
      <c r="D9" s="12">
        <v>15</v>
      </c>
      <c r="E9" s="12">
        <v>7</v>
      </c>
      <c r="F9" s="12">
        <v>4</v>
      </c>
      <c r="G9" s="12">
        <v>3</v>
      </c>
      <c r="H9" s="12">
        <v>22.205985069274899</v>
      </c>
      <c r="I9" s="12">
        <v>5.5220048310000003</v>
      </c>
      <c r="J9" s="12">
        <v>16.683980238274899</v>
      </c>
      <c r="K9" s="12">
        <v>11.72873671</v>
      </c>
      <c r="L9" s="12">
        <v>2.6344593500000002</v>
      </c>
      <c r="M9" s="12">
        <v>6.4336142560000003</v>
      </c>
      <c r="N9" s="12">
        <v>314.63320825020799</v>
      </c>
      <c r="O9" s="12" t="s">
        <v>333</v>
      </c>
      <c r="P9" s="12">
        <v>13</v>
      </c>
      <c r="Q9" s="12">
        <v>21</v>
      </c>
      <c r="R9" s="12">
        <v>21</v>
      </c>
      <c r="S9" s="12">
        <v>22.638077020645099</v>
      </c>
      <c r="T9">
        <f t="shared" si="2"/>
        <v>0.43209195137020018</v>
      </c>
    </row>
    <row r="10" spans="1:20" x14ac:dyDescent="0.2">
      <c r="A10" s="11" t="s">
        <v>554</v>
      </c>
      <c r="B10" s="12" t="s">
        <v>34</v>
      </c>
      <c r="C10" s="12" t="s">
        <v>52</v>
      </c>
      <c r="D10" s="12">
        <v>15</v>
      </c>
      <c r="E10" s="12">
        <v>9</v>
      </c>
      <c r="F10" s="12">
        <v>5</v>
      </c>
      <c r="G10" s="12">
        <v>3</v>
      </c>
      <c r="H10" s="12">
        <v>29.915997028350802</v>
      </c>
      <c r="I10" s="12">
        <v>5.5591712849999997</v>
      </c>
      <c r="J10" s="12">
        <v>24.3568257433508</v>
      </c>
      <c r="K10" s="12">
        <v>16.901964488000001</v>
      </c>
      <c r="L10" s="12">
        <v>2.7683275159999998</v>
      </c>
      <c r="M10" s="12">
        <v>8.8160799080000007</v>
      </c>
      <c r="N10" s="12">
        <v>425.49411753800302</v>
      </c>
      <c r="O10" s="12" t="s">
        <v>333</v>
      </c>
      <c r="P10" s="12">
        <v>43</v>
      </c>
      <c r="Q10" s="12">
        <v>35</v>
      </c>
      <c r="R10" s="12">
        <v>33</v>
      </c>
      <c r="S10" s="12">
        <v>29.1765151023864</v>
      </c>
      <c r="T10">
        <f t="shared" si="2"/>
        <v>-0.73948192596440165</v>
      </c>
    </row>
    <row r="11" spans="1:20" x14ac:dyDescent="0.2">
      <c r="A11" s="11" t="s">
        <v>558</v>
      </c>
      <c r="B11" s="12" t="s">
        <v>34</v>
      </c>
      <c r="C11" s="12" t="s">
        <v>53</v>
      </c>
      <c r="D11" s="12">
        <v>15</v>
      </c>
      <c r="E11" s="12">
        <v>4</v>
      </c>
      <c r="F11" s="12">
        <v>2</v>
      </c>
      <c r="G11" s="12">
        <v>4</v>
      </c>
      <c r="H11" s="12">
        <v>20.6479601860046</v>
      </c>
      <c r="I11" s="12">
        <v>5.5334592639999904</v>
      </c>
      <c r="J11" s="12">
        <v>15.1145009220046</v>
      </c>
      <c r="K11" s="12">
        <v>11.254997145999999</v>
      </c>
      <c r="L11" s="12">
        <v>2.5237061439999899</v>
      </c>
      <c r="M11" s="12">
        <v>5.4789906830000001</v>
      </c>
      <c r="N11" s="12">
        <v>434.61897856392102</v>
      </c>
      <c r="O11" s="12" t="s">
        <v>333</v>
      </c>
      <c r="P11" s="12">
        <v>5</v>
      </c>
      <c r="Q11" s="12">
        <v>5</v>
      </c>
      <c r="R11" s="12">
        <v>5</v>
      </c>
      <c r="S11" s="12">
        <v>21.638018846511802</v>
      </c>
      <c r="T11">
        <f t="shared" si="2"/>
        <v>0.99005866050720215</v>
      </c>
    </row>
    <row r="12" spans="1:20" x14ac:dyDescent="0.2">
      <c r="A12" s="11" t="s">
        <v>562</v>
      </c>
      <c r="B12" s="12" t="s">
        <v>34</v>
      </c>
      <c r="C12" s="12" t="s">
        <v>54</v>
      </c>
      <c r="D12" s="12">
        <v>15</v>
      </c>
      <c r="E12" s="12">
        <v>7</v>
      </c>
      <c r="F12" s="12">
        <v>4</v>
      </c>
      <c r="G12" s="12">
        <v>3</v>
      </c>
      <c r="H12" s="12">
        <v>22.563647985458299</v>
      </c>
      <c r="I12" s="12">
        <v>5.5332901520000002</v>
      </c>
      <c r="J12" s="12">
        <v>17.0303578334583</v>
      </c>
      <c r="K12" s="12">
        <v>11.681339986999999</v>
      </c>
      <c r="L12" s="12">
        <v>2.66725871699999</v>
      </c>
      <c r="M12" s="12">
        <v>6.8095963529999999</v>
      </c>
      <c r="N12" s="12">
        <v>326.762952311785</v>
      </c>
      <c r="O12" s="12" t="s">
        <v>333</v>
      </c>
      <c r="P12" s="12">
        <v>23</v>
      </c>
      <c r="Q12" s="12">
        <v>27</v>
      </c>
      <c r="R12" s="12">
        <v>45</v>
      </c>
      <c r="S12" s="12">
        <v>23.1214821338653</v>
      </c>
      <c r="T12">
        <f t="shared" si="2"/>
        <v>0.55783414840700019</v>
      </c>
    </row>
    <row r="13" spans="1:20" x14ac:dyDescent="0.2">
      <c r="A13" s="11" t="s">
        <v>566</v>
      </c>
      <c r="B13" s="12" t="s">
        <v>34</v>
      </c>
      <c r="C13" s="12" t="s">
        <v>57</v>
      </c>
      <c r="D13" s="12">
        <v>15</v>
      </c>
      <c r="E13" s="12">
        <v>9</v>
      </c>
      <c r="F13" s="12">
        <v>5</v>
      </c>
      <c r="G13" s="12">
        <v>3</v>
      </c>
      <c r="H13" s="12">
        <v>28.607765913009601</v>
      </c>
      <c r="I13" s="12">
        <v>5.5222098509999897</v>
      </c>
      <c r="J13" s="12">
        <v>23.085556062009601</v>
      </c>
      <c r="K13" s="12">
        <v>17.437872338999998</v>
      </c>
      <c r="L13" s="12">
        <v>2.7816901239999998</v>
      </c>
      <c r="M13" s="12">
        <v>6.9771555230000004</v>
      </c>
      <c r="N13" s="12">
        <v>346.86601759865601</v>
      </c>
      <c r="O13" s="12" t="s">
        <v>333</v>
      </c>
      <c r="P13" s="12">
        <v>17</v>
      </c>
      <c r="Q13" s="12">
        <v>13</v>
      </c>
      <c r="R13" s="12">
        <v>17</v>
      </c>
      <c r="S13" s="12">
        <v>28.684031009674001</v>
      </c>
      <c r="T13">
        <f t="shared" si="2"/>
        <v>7.6265096664400289E-2</v>
      </c>
    </row>
    <row r="14" spans="1:20" x14ac:dyDescent="0.2">
      <c r="A14" s="11" t="s">
        <v>570</v>
      </c>
      <c r="B14" s="12" t="s">
        <v>34</v>
      </c>
      <c r="C14" s="12" t="s">
        <v>58</v>
      </c>
      <c r="D14" s="12">
        <v>15</v>
      </c>
      <c r="E14" s="12">
        <v>4</v>
      </c>
      <c r="F14" s="12">
        <v>2</v>
      </c>
      <c r="G14" s="12">
        <v>4</v>
      </c>
      <c r="H14" s="12">
        <v>21.557156085968</v>
      </c>
      <c r="I14" s="12">
        <v>5.5092418890000001</v>
      </c>
      <c r="J14" s="12">
        <v>16.047914196968001</v>
      </c>
      <c r="K14" s="12">
        <v>11.215688503000001</v>
      </c>
      <c r="L14" s="12">
        <v>2.526420141</v>
      </c>
      <c r="M14" s="12">
        <v>6.4293180159999999</v>
      </c>
      <c r="N14" s="12">
        <v>395.878125988813</v>
      </c>
      <c r="O14" s="12" t="s">
        <v>333</v>
      </c>
      <c r="P14" s="12">
        <v>17</v>
      </c>
      <c r="Q14" s="12">
        <v>15</v>
      </c>
      <c r="R14" s="12">
        <v>15</v>
      </c>
      <c r="S14" s="12">
        <v>22.6210198402404</v>
      </c>
      <c r="T14">
        <f t="shared" si="2"/>
        <v>1.0638637542724005</v>
      </c>
    </row>
    <row r="15" spans="1:20" x14ac:dyDescent="0.2">
      <c r="A15" s="11" t="s">
        <v>574</v>
      </c>
      <c r="B15" s="12" t="s">
        <v>34</v>
      </c>
      <c r="C15" s="12" t="s">
        <v>59</v>
      </c>
      <c r="D15" s="12">
        <v>15</v>
      </c>
      <c r="E15" s="12">
        <v>7</v>
      </c>
      <c r="F15" s="12">
        <v>4</v>
      </c>
      <c r="G15" s="12">
        <v>3</v>
      </c>
      <c r="H15" s="12">
        <v>17.251055955886802</v>
      </c>
      <c r="I15" s="12">
        <v>5.5294690260000001</v>
      </c>
      <c r="J15" s="12">
        <v>11.721586929886801</v>
      </c>
      <c r="K15" s="12">
        <v>11.625876965</v>
      </c>
      <c r="L15" s="12">
        <v>4.2116658080000002</v>
      </c>
      <c r="M15" s="12">
        <v>1.3094521E-2</v>
      </c>
      <c r="N15" s="12">
        <v>298.27040084693903</v>
      </c>
      <c r="O15" s="12" t="s">
        <v>333</v>
      </c>
      <c r="P15" s="12">
        <v>11</v>
      </c>
      <c r="Q15" s="12">
        <v>11</v>
      </c>
      <c r="R15" s="12">
        <v>11</v>
      </c>
      <c r="S15" s="12">
        <v>17.4413609504699</v>
      </c>
      <c r="T15">
        <f t="shared" si="2"/>
        <v>0.19030499458309791</v>
      </c>
    </row>
    <row r="16" spans="1:20" x14ac:dyDescent="0.2">
      <c r="A16" s="11" t="s">
        <v>578</v>
      </c>
      <c r="B16" s="12" t="s">
        <v>34</v>
      </c>
      <c r="C16" s="12" t="s">
        <v>60</v>
      </c>
      <c r="D16" s="12">
        <v>15</v>
      </c>
      <c r="E16" s="12">
        <v>9</v>
      </c>
      <c r="F16" s="12">
        <v>5</v>
      </c>
      <c r="G16" s="12">
        <v>3</v>
      </c>
      <c r="H16" s="12">
        <v>29.676345825195298</v>
      </c>
      <c r="I16" s="12">
        <v>5.5407513269999997</v>
      </c>
      <c r="J16" s="12">
        <v>24.135594498195299</v>
      </c>
      <c r="K16" s="12">
        <v>17.001803573</v>
      </c>
      <c r="L16" s="12">
        <v>2.8524932299999999</v>
      </c>
      <c r="M16" s="12">
        <v>8.4085774390000001</v>
      </c>
      <c r="N16" s="12">
        <v>356.33508211584098</v>
      </c>
      <c r="O16" s="12" t="s">
        <v>333</v>
      </c>
      <c r="P16" s="12">
        <v>31</v>
      </c>
      <c r="Q16" s="12">
        <v>45</v>
      </c>
      <c r="R16" s="12">
        <v>35</v>
      </c>
      <c r="S16" s="12">
        <v>30.483357906341499</v>
      </c>
      <c r="T16">
        <f t="shared" si="2"/>
        <v>0.80701208114620115</v>
      </c>
    </row>
    <row r="17" spans="1:20" x14ac:dyDescent="0.2">
      <c r="A17" s="11" t="s">
        <v>582</v>
      </c>
      <c r="B17" s="12" t="s">
        <v>34</v>
      </c>
      <c r="C17" s="12" t="s">
        <v>61</v>
      </c>
      <c r="D17" s="12">
        <v>15</v>
      </c>
      <c r="E17" s="12">
        <v>4</v>
      </c>
      <c r="F17" s="12">
        <v>2</v>
      </c>
      <c r="G17" s="12">
        <v>4</v>
      </c>
      <c r="H17" s="12">
        <v>16.251322984695399</v>
      </c>
      <c r="I17" s="12">
        <v>5.5473602160000004</v>
      </c>
      <c r="J17" s="12">
        <v>10.7039627686954</v>
      </c>
      <c r="K17" s="12">
        <v>11.271176282000001</v>
      </c>
      <c r="L17" s="12">
        <v>3.5091700019999998</v>
      </c>
      <c r="M17" s="12">
        <v>1.2859157E-2</v>
      </c>
      <c r="N17" s="12">
        <v>448.96694351596699</v>
      </c>
      <c r="O17" s="12" t="s">
        <v>333</v>
      </c>
      <c r="P17" s="12">
        <v>5</v>
      </c>
      <c r="Q17" s="12">
        <v>5</v>
      </c>
      <c r="R17" s="12">
        <v>5</v>
      </c>
      <c r="S17" s="12">
        <v>16.323401927947899</v>
      </c>
      <c r="T17">
        <f t="shared" si="2"/>
        <v>7.2078943252499528E-2</v>
      </c>
    </row>
    <row r="18" spans="1:20" x14ac:dyDescent="0.2">
      <c r="A18" s="11" t="s">
        <v>586</v>
      </c>
      <c r="B18" s="12" t="s">
        <v>34</v>
      </c>
      <c r="C18" s="12" t="s">
        <v>62</v>
      </c>
      <c r="D18" s="12">
        <v>15</v>
      </c>
      <c r="E18" s="12">
        <v>7</v>
      </c>
      <c r="F18" s="12">
        <v>4</v>
      </c>
      <c r="G18" s="12">
        <v>3</v>
      </c>
      <c r="H18" s="12">
        <v>18.863296031951901</v>
      </c>
      <c r="I18" s="12">
        <v>5.5190998899999997</v>
      </c>
      <c r="J18" s="12">
        <v>13.344196141951899</v>
      </c>
      <c r="K18" s="12">
        <v>11.635469321</v>
      </c>
      <c r="L18" s="12">
        <v>5.8077455879999897</v>
      </c>
      <c r="M18" s="12">
        <v>1.3815528000000001E-2</v>
      </c>
      <c r="N18" s="12">
        <v>389.65319045674897</v>
      </c>
      <c r="O18" s="12" t="s">
        <v>333</v>
      </c>
      <c r="P18" s="12">
        <v>31</v>
      </c>
      <c r="Q18" s="12">
        <v>31</v>
      </c>
      <c r="R18" s="12">
        <v>31</v>
      </c>
      <c r="S18" s="12">
        <v>18.859556198120099</v>
      </c>
      <c r="T18">
        <f t="shared" si="2"/>
        <v>-3.7398338318013202E-3</v>
      </c>
    </row>
    <row r="19" spans="1:20" x14ac:dyDescent="0.2">
      <c r="A19" s="11" t="s">
        <v>590</v>
      </c>
      <c r="B19" s="12" t="s">
        <v>34</v>
      </c>
      <c r="C19" s="12" t="s">
        <v>63</v>
      </c>
      <c r="D19" s="12">
        <v>15</v>
      </c>
      <c r="E19" s="12">
        <v>9</v>
      </c>
      <c r="F19" s="12">
        <v>5</v>
      </c>
      <c r="G19" s="12">
        <v>3</v>
      </c>
      <c r="H19" s="12">
        <v>28.939328908920199</v>
      </c>
      <c r="I19" s="12">
        <v>5.5283491729999996</v>
      </c>
      <c r="J19" s="12">
        <v>23.410979735920201</v>
      </c>
      <c r="K19" s="12">
        <v>17.173393167</v>
      </c>
      <c r="L19" s="12">
        <v>2.71418180799999</v>
      </c>
      <c r="M19" s="12">
        <v>7.6345032909999997</v>
      </c>
      <c r="N19" s="12">
        <v>434.295514907832</v>
      </c>
      <c r="O19" s="12" t="s">
        <v>333</v>
      </c>
      <c r="P19" s="12">
        <v>31</v>
      </c>
      <c r="Q19" s="12">
        <v>33</v>
      </c>
      <c r="R19" s="12">
        <v>31</v>
      </c>
      <c r="S19" s="12">
        <v>29.136438846588099</v>
      </c>
      <c r="T19">
        <f t="shared" si="2"/>
        <v>0.19710993766789997</v>
      </c>
    </row>
    <row r="20" spans="1:20" x14ac:dyDescent="0.2">
      <c r="A20" s="11" t="s">
        <v>594</v>
      </c>
      <c r="B20" s="12" t="s">
        <v>34</v>
      </c>
      <c r="C20" s="12" t="s">
        <v>64</v>
      </c>
      <c r="D20" s="12">
        <v>15</v>
      </c>
      <c r="E20" s="12">
        <v>4</v>
      </c>
      <c r="F20" s="12">
        <v>2</v>
      </c>
      <c r="G20" s="12">
        <v>4</v>
      </c>
      <c r="H20" s="12">
        <v>15.8070478439331</v>
      </c>
      <c r="I20" s="12">
        <v>5.5076232300000001</v>
      </c>
      <c r="J20" s="12">
        <v>10.2994246139331</v>
      </c>
      <c r="K20" s="12">
        <v>11.195429688000001</v>
      </c>
      <c r="L20" s="12">
        <v>3.392355657</v>
      </c>
      <c r="M20" s="12">
        <v>0</v>
      </c>
      <c r="N20" s="12">
        <v>352.02200517602699</v>
      </c>
      <c r="O20" s="12" t="s">
        <v>333</v>
      </c>
      <c r="P20" s="12">
        <v>2</v>
      </c>
      <c r="Q20" s="12">
        <v>2</v>
      </c>
      <c r="R20" s="12">
        <v>2</v>
      </c>
      <c r="S20" s="12">
        <v>15.910261154174799</v>
      </c>
      <c r="T20">
        <f t="shared" si="2"/>
        <v>0.10321331024169922</v>
      </c>
    </row>
    <row r="21" spans="1:20" x14ac:dyDescent="0.2">
      <c r="A21" s="11" t="s">
        <v>598</v>
      </c>
      <c r="B21" s="12" t="s">
        <v>34</v>
      </c>
      <c r="C21" s="12" t="s">
        <v>65</v>
      </c>
      <c r="D21" s="12">
        <v>15</v>
      </c>
      <c r="E21" s="12">
        <v>7</v>
      </c>
      <c r="F21" s="12">
        <v>4</v>
      </c>
      <c r="G21" s="12">
        <v>3</v>
      </c>
      <c r="H21" s="12">
        <v>22.176274061202999</v>
      </c>
      <c r="I21" s="12">
        <v>5.5614009589999904</v>
      </c>
      <c r="J21" s="12">
        <v>16.614873102202999</v>
      </c>
      <c r="K21" s="12">
        <v>11.635477089</v>
      </c>
      <c r="L21" s="12">
        <v>2.6731728129999999</v>
      </c>
      <c r="M21" s="12">
        <v>6.4682445289999997</v>
      </c>
      <c r="N21" s="12">
        <v>376.01188940240598</v>
      </c>
      <c r="O21" s="12" t="s">
        <v>333</v>
      </c>
      <c r="P21" s="12">
        <v>15</v>
      </c>
      <c r="Q21" s="12">
        <v>13</v>
      </c>
      <c r="R21" s="12">
        <v>13</v>
      </c>
      <c r="S21" s="12">
        <v>22.404973983764599</v>
      </c>
      <c r="T21">
        <f t="shared" si="2"/>
        <v>0.22869992256159932</v>
      </c>
    </row>
    <row r="22" spans="1:20" x14ac:dyDescent="0.2">
      <c r="A22" s="11" t="s">
        <v>602</v>
      </c>
      <c r="B22" s="12" t="s">
        <v>34</v>
      </c>
      <c r="C22" s="12" t="s">
        <v>66</v>
      </c>
      <c r="D22" s="12">
        <v>15</v>
      </c>
      <c r="E22" s="12">
        <v>9</v>
      </c>
      <c r="F22" s="12">
        <v>5</v>
      </c>
      <c r="G22" s="12">
        <v>4</v>
      </c>
      <c r="H22" s="12">
        <v>27.755074977874699</v>
      </c>
      <c r="I22" s="12">
        <v>5.5335273669999996</v>
      </c>
      <c r="J22" s="12">
        <v>22.221547610874701</v>
      </c>
      <c r="K22" s="12">
        <v>17.165869529999998</v>
      </c>
      <c r="L22" s="12">
        <v>2.6413422999999998</v>
      </c>
      <c r="M22" s="12">
        <v>6.5336875929999998</v>
      </c>
      <c r="N22" s="12">
        <v>431.01594474504799</v>
      </c>
      <c r="O22" s="12" t="s">
        <v>333</v>
      </c>
      <c r="P22" s="12">
        <v>17</v>
      </c>
      <c r="Q22" s="12">
        <v>7</v>
      </c>
      <c r="R22" s="12">
        <v>7</v>
      </c>
      <c r="S22" s="12">
        <v>27.876232147216701</v>
      </c>
      <c r="T22">
        <f t="shared" si="2"/>
        <v>0.12115716934200194</v>
      </c>
    </row>
    <row r="23" spans="1:20" x14ac:dyDescent="0.2">
      <c r="A23" s="11" t="s">
        <v>606</v>
      </c>
      <c r="B23" s="12" t="s">
        <v>34</v>
      </c>
      <c r="C23" s="12" t="s">
        <v>67</v>
      </c>
      <c r="D23" s="12">
        <v>15</v>
      </c>
      <c r="E23" s="12">
        <v>4</v>
      </c>
      <c r="F23" s="12">
        <v>2</v>
      </c>
      <c r="G23" s="12">
        <v>4</v>
      </c>
      <c r="H23" s="12">
        <v>20.795855998992899</v>
      </c>
      <c r="I23" s="12">
        <v>5.5215723560000001</v>
      </c>
      <c r="J23" s="12">
        <v>15.2742836429929</v>
      </c>
      <c r="K23" s="12">
        <v>11.245648684000001</v>
      </c>
      <c r="L23" s="12">
        <v>3.5708685769999899</v>
      </c>
      <c r="M23" s="12">
        <v>4.5895095479999997</v>
      </c>
      <c r="N23" s="12">
        <v>428.753736186151</v>
      </c>
      <c r="O23" s="12" t="s">
        <v>333</v>
      </c>
      <c r="P23" s="12">
        <v>7</v>
      </c>
      <c r="Q23" s="12">
        <v>7</v>
      </c>
      <c r="R23" s="12">
        <v>7</v>
      </c>
      <c r="S23" s="12">
        <v>21.761409044265701</v>
      </c>
      <c r="T23">
        <f t="shared" si="2"/>
        <v>0.96555304527280228</v>
      </c>
    </row>
    <row r="24" spans="1:20" x14ac:dyDescent="0.2">
      <c r="A24" s="11" t="s">
        <v>610</v>
      </c>
      <c r="B24" s="12" t="s">
        <v>34</v>
      </c>
      <c r="C24" s="12" t="s">
        <v>68</v>
      </c>
      <c r="D24" s="12">
        <v>15</v>
      </c>
      <c r="E24" s="12">
        <v>7</v>
      </c>
      <c r="F24" s="12">
        <v>4</v>
      </c>
      <c r="G24" s="12">
        <v>3</v>
      </c>
      <c r="H24" s="12">
        <v>23.0111789703369</v>
      </c>
      <c r="I24" s="12">
        <v>5.5350707989999997</v>
      </c>
      <c r="J24" s="12">
        <v>17.4761081713369</v>
      </c>
      <c r="K24" s="12">
        <v>11.695219201</v>
      </c>
      <c r="L24" s="12">
        <v>2.6785158330000001</v>
      </c>
      <c r="M24" s="12">
        <v>7.2241694489999997</v>
      </c>
      <c r="N24" s="12">
        <v>316.02815874596502</v>
      </c>
      <c r="O24" s="12" t="s">
        <v>333</v>
      </c>
      <c r="P24" s="12">
        <v>33</v>
      </c>
      <c r="Q24" s="12">
        <v>21</v>
      </c>
      <c r="R24" s="12">
        <v>67</v>
      </c>
      <c r="S24" s="12">
        <v>22.951441049575799</v>
      </c>
      <c r="T24">
        <f t="shared" si="2"/>
        <v>-5.9737920761101293E-2</v>
      </c>
    </row>
    <row r="25" spans="1:20" x14ac:dyDescent="0.2">
      <c r="A25" s="11" t="s">
        <v>614</v>
      </c>
      <c r="B25" s="12" t="s">
        <v>34</v>
      </c>
      <c r="C25" s="12" t="s">
        <v>69</v>
      </c>
      <c r="D25" s="12">
        <v>15</v>
      </c>
      <c r="E25" s="12">
        <v>9</v>
      </c>
      <c r="F25" s="12">
        <v>5</v>
      </c>
      <c r="G25" s="12">
        <v>3</v>
      </c>
      <c r="H25" s="12">
        <v>26.394023180007899</v>
      </c>
      <c r="I25" s="12">
        <v>5.5248615909999996</v>
      </c>
      <c r="J25" s="12">
        <v>20.869161589007899</v>
      </c>
      <c r="K25" s="12">
        <v>16.828605222</v>
      </c>
      <c r="L25" s="12">
        <v>8.1407403409999901</v>
      </c>
      <c r="M25" s="12">
        <v>1.5001614E-2</v>
      </c>
      <c r="N25" s="12">
        <v>425.83339051523399</v>
      </c>
      <c r="O25" s="12" t="s">
        <v>333</v>
      </c>
      <c r="P25" s="12">
        <v>69</v>
      </c>
      <c r="Q25" s="12">
        <v>69</v>
      </c>
      <c r="R25" s="12">
        <v>69</v>
      </c>
      <c r="S25" s="12">
        <v>26.4800379276275</v>
      </c>
      <c r="T25">
        <f t="shared" si="2"/>
        <v>8.6014747619600485E-2</v>
      </c>
    </row>
    <row r="26" spans="1:20" x14ac:dyDescent="0.2">
      <c r="A26" s="11" t="s">
        <v>618</v>
      </c>
      <c r="B26" s="12" t="s">
        <v>34</v>
      </c>
      <c r="C26" s="12" t="s">
        <v>70</v>
      </c>
      <c r="D26" s="12">
        <v>15</v>
      </c>
      <c r="E26" s="12">
        <v>4</v>
      </c>
      <c r="F26" s="12">
        <v>2</v>
      </c>
      <c r="G26" s="12">
        <v>4</v>
      </c>
      <c r="H26" s="12">
        <v>21.187072038650498</v>
      </c>
      <c r="I26" s="12">
        <v>5.5093481180000001</v>
      </c>
      <c r="J26" s="12">
        <v>15.6777239206505</v>
      </c>
      <c r="K26" s="12">
        <v>11.219198226</v>
      </c>
      <c r="L26" s="12">
        <v>2.576007916</v>
      </c>
      <c r="M26" s="12">
        <v>6.0009199310000003</v>
      </c>
      <c r="N26" s="12">
        <v>413.73207898380798</v>
      </c>
      <c r="O26" s="12" t="s">
        <v>333</v>
      </c>
      <c r="P26" s="12">
        <v>5</v>
      </c>
      <c r="Q26" s="12">
        <v>5</v>
      </c>
      <c r="R26" s="12">
        <v>5</v>
      </c>
      <c r="S26" s="12">
        <v>21.738634109496999</v>
      </c>
      <c r="T26">
        <f t="shared" si="2"/>
        <v>0.55156207084650077</v>
      </c>
    </row>
    <row r="27" spans="1:20" x14ac:dyDescent="0.2">
      <c r="A27" s="11" t="s">
        <v>622</v>
      </c>
      <c r="B27" s="12" t="s">
        <v>34</v>
      </c>
      <c r="C27" s="12" t="s">
        <v>71</v>
      </c>
      <c r="D27" s="12">
        <v>15</v>
      </c>
      <c r="E27" s="12">
        <v>7</v>
      </c>
      <c r="F27" s="12">
        <v>4</v>
      </c>
      <c r="G27" s="12">
        <v>3</v>
      </c>
      <c r="H27" s="12">
        <v>22.945287942886299</v>
      </c>
      <c r="I27" s="12">
        <v>5.5287734549999996</v>
      </c>
      <c r="J27" s="12">
        <v>17.4165144878863</v>
      </c>
      <c r="K27" s="12">
        <v>11.662336485000001</v>
      </c>
      <c r="L27" s="12">
        <v>2.958059424</v>
      </c>
      <c r="M27" s="12">
        <v>6.9178212669999999</v>
      </c>
      <c r="N27" s="12">
        <v>316.90014456721798</v>
      </c>
      <c r="O27" s="12" t="s">
        <v>333</v>
      </c>
      <c r="P27" s="12">
        <v>15</v>
      </c>
      <c r="Q27" s="12">
        <v>57</v>
      </c>
      <c r="R27" s="12">
        <v>65</v>
      </c>
      <c r="S27" s="12">
        <v>25.531577825546201</v>
      </c>
      <c r="T27">
        <f t="shared" si="2"/>
        <v>2.5862898826599015</v>
      </c>
    </row>
    <row r="28" spans="1:20" x14ac:dyDescent="0.2">
      <c r="A28" s="11" t="s">
        <v>626</v>
      </c>
      <c r="B28" s="12" t="s">
        <v>34</v>
      </c>
      <c r="C28" s="12" t="s">
        <v>72</v>
      </c>
      <c r="D28" s="12">
        <v>15</v>
      </c>
      <c r="E28" s="12">
        <v>9</v>
      </c>
      <c r="F28" s="12">
        <v>5</v>
      </c>
      <c r="G28" s="12">
        <v>3</v>
      </c>
      <c r="H28" s="12">
        <v>27.654706001281699</v>
      </c>
      <c r="I28" s="12">
        <v>5.5397905489999903</v>
      </c>
      <c r="J28" s="12">
        <v>22.1149154522817</v>
      </c>
      <c r="K28" s="12">
        <v>17.461853820999998</v>
      </c>
      <c r="L28" s="12">
        <v>3.66794438499999</v>
      </c>
      <c r="M28" s="12">
        <v>5.1122716070000003</v>
      </c>
      <c r="N28" s="12">
        <v>362.03011048975998</v>
      </c>
      <c r="O28" s="12" t="s">
        <v>333</v>
      </c>
      <c r="P28" s="12">
        <v>7</v>
      </c>
      <c r="Q28" s="12">
        <v>7</v>
      </c>
      <c r="R28" s="12">
        <v>7</v>
      </c>
      <c r="S28" s="12">
        <v>28.027256011962798</v>
      </c>
      <c r="T28">
        <f t="shared" si="2"/>
        <v>0.37255001068109905</v>
      </c>
    </row>
    <row r="29" spans="1:20" x14ac:dyDescent="0.2">
      <c r="A29" s="11" t="s">
        <v>630</v>
      </c>
      <c r="B29" s="12" t="s">
        <v>34</v>
      </c>
      <c r="C29" s="12" t="s">
        <v>73</v>
      </c>
      <c r="D29" s="12">
        <v>15</v>
      </c>
      <c r="E29" s="12">
        <v>4</v>
      </c>
      <c r="F29" s="12">
        <v>2</v>
      </c>
      <c r="G29" s="12">
        <v>3</v>
      </c>
      <c r="H29" s="12">
        <v>16.302342891693101</v>
      </c>
      <c r="I29" s="12">
        <v>5.531740943</v>
      </c>
      <c r="J29" s="12">
        <v>10.7706019486931</v>
      </c>
      <c r="K29" s="12">
        <v>11.253923650999999</v>
      </c>
      <c r="L29" s="12">
        <v>3.6452913119999999</v>
      </c>
      <c r="M29" s="12">
        <v>1.2161056E-2</v>
      </c>
      <c r="N29" s="12">
        <v>383.974715845079</v>
      </c>
      <c r="O29" s="12" t="s">
        <v>333</v>
      </c>
      <c r="P29" s="12">
        <v>4</v>
      </c>
      <c r="Q29" s="12">
        <v>4</v>
      </c>
      <c r="R29" s="12">
        <v>4</v>
      </c>
      <c r="S29" s="12">
        <v>16.373127937316799</v>
      </c>
      <c r="T29">
        <f t="shared" si="2"/>
        <v>7.0785045623697584E-2</v>
      </c>
    </row>
    <row r="30" spans="1:20" x14ac:dyDescent="0.2">
      <c r="A30" s="11" t="s">
        <v>634</v>
      </c>
      <c r="B30" s="12" t="s">
        <v>34</v>
      </c>
      <c r="C30" s="12" t="s">
        <v>74</v>
      </c>
      <c r="D30" s="12">
        <v>15</v>
      </c>
      <c r="E30" s="12">
        <v>7</v>
      </c>
      <c r="F30" s="12">
        <v>4</v>
      </c>
      <c r="G30" s="12">
        <v>3</v>
      </c>
      <c r="H30" s="12">
        <v>29.4792559146881</v>
      </c>
      <c r="I30" s="12">
        <v>5.5226808099999998</v>
      </c>
      <c r="J30" s="12">
        <v>23.956575104688099</v>
      </c>
      <c r="K30" s="12">
        <v>11.613910945000001</v>
      </c>
      <c r="L30" s="12">
        <v>2.6863607509999898</v>
      </c>
      <c r="M30" s="12">
        <v>13.762223241999999</v>
      </c>
      <c r="N30" s="12">
        <v>331.17345430660703</v>
      </c>
      <c r="O30" s="12" t="s">
        <v>333</v>
      </c>
      <c r="P30" s="12">
        <v>185</v>
      </c>
      <c r="Q30" s="12">
        <v>167</v>
      </c>
      <c r="R30" s="12">
        <v>203</v>
      </c>
      <c r="S30" s="12">
        <v>28.601739883422798</v>
      </c>
      <c r="T30">
        <f t="shared" si="2"/>
        <v>-0.87751603126530142</v>
      </c>
    </row>
    <row r="31" spans="1:20" x14ac:dyDescent="0.2">
      <c r="A31" s="11" t="s">
        <v>638</v>
      </c>
      <c r="B31" s="12" t="s">
        <v>34</v>
      </c>
      <c r="C31" s="12" t="s">
        <v>75</v>
      </c>
      <c r="D31" s="12">
        <v>15</v>
      </c>
      <c r="E31" s="12">
        <v>9</v>
      </c>
      <c r="F31" s="12">
        <v>5</v>
      </c>
      <c r="G31" s="12">
        <v>3</v>
      </c>
      <c r="H31" s="12">
        <v>27.2228360176086</v>
      </c>
      <c r="I31" s="12">
        <v>5.5393203340000001</v>
      </c>
      <c r="J31" s="12">
        <v>21.683515683608601</v>
      </c>
      <c r="K31" s="12">
        <v>17.091719388000001</v>
      </c>
      <c r="L31" s="12">
        <v>2.9198151619999999</v>
      </c>
      <c r="M31" s="12">
        <v>5.7957452329999999</v>
      </c>
      <c r="N31" s="12">
        <v>348.113495668486</v>
      </c>
      <c r="O31" s="12" t="s">
        <v>333</v>
      </c>
      <c r="P31" s="12">
        <v>5</v>
      </c>
      <c r="Q31" s="12">
        <v>5</v>
      </c>
      <c r="R31" s="12">
        <v>5</v>
      </c>
      <c r="S31" s="12">
        <v>27.929498195648101</v>
      </c>
      <c r="T31">
        <f t="shared" si="2"/>
        <v>0.70666217803950104</v>
      </c>
    </row>
    <row r="32" spans="1:20" x14ac:dyDescent="0.2">
      <c r="A32" s="11" t="s">
        <v>642</v>
      </c>
      <c r="B32" s="12" t="s">
        <v>34</v>
      </c>
      <c r="C32" s="12" t="s">
        <v>76</v>
      </c>
      <c r="D32" s="12">
        <v>15</v>
      </c>
      <c r="E32" s="12">
        <v>4</v>
      </c>
      <c r="F32" s="12">
        <v>2</v>
      </c>
      <c r="G32" s="12">
        <v>4</v>
      </c>
      <c r="H32" s="12">
        <v>21.8933889865875</v>
      </c>
      <c r="I32" s="12">
        <v>5.5456612609999896</v>
      </c>
      <c r="J32" s="12">
        <v>16.3477277255875</v>
      </c>
      <c r="K32" s="12">
        <v>11.292459244</v>
      </c>
      <c r="L32" s="12">
        <v>2.6755509420000001</v>
      </c>
      <c r="M32" s="12">
        <v>6.5369256360000003</v>
      </c>
      <c r="N32" s="12">
        <v>422.87009412877802</v>
      </c>
      <c r="O32" s="12" t="s">
        <v>333</v>
      </c>
      <c r="P32" s="12">
        <v>13</v>
      </c>
      <c r="Q32" s="12">
        <v>91</v>
      </c>
      <c r="R32" s="12">
        <v>135</v>
      </c>
      <c r="S32" s="12">
        <v>25.896259069442699</v>
      </c>
      <c r="T32">
        <f t="shared" si="2"/>
        <v>4.0028700828551997</v>
      </c>
    </row>
    <row r="33" spans="1:20" x14ac:dyDescent="0.2">
      <c r="A33" s="11" t="s">
        <v>646</v>
      </c>
      <c r="B33" s="12" t="s">
        <v>34</v>
      </c>
      <c r="C33" s="12" t="s">
        <v>77</v>
      </c>
      <c r="D33" s="12">
        <v>15</v>
      </c>
      <c r="E33" s="12">
        <v>7</v>
      </c>
      <c r="F33" s="12">
        <v>4</v>
      </c>
      <c r="G33" s="12">
        <v>3</v>
      </c>
      <c r="H33" s="12">
        <v>27.822162151336599</v>
      </c>
      <c r="I33" s="12">
        <v>5.5155779190000001</v>
      </c>
      <c r="J33" s="12">
        <v>22.306584232336601</v>
      </c>
      <c r="K33" s="12">
        <v>11.614932583</v>
      </c>
      <c r="L33" s="12">
        <v>3.4818549339999998</v>
      </c>
      <c r="M33" s="12">
        <v>11.324948654</v>
      </c>
      <c r="N33" s="12">
        <v>363.85369617237802</v>
      </c>
      <c r="O33" s="12" t="s">
        <v>333</v>
      </c>
      <c r="P33" s="12">
        <v>13</v>
      </c>
      <c r="Q33" s="12">
        <v>97</v>
      </c>
      <c r="R33" s="12">
        <v>13</v>
      </c>
      <c r="S33" s="12">
        <v>34.387969970703097</v>
      </c>
      <c r="T33">
        <f t="shared" si="2"/>
        <v>6.5658078193664977</v>
      </c>
    </row>
    <row r="34" spans="1:20" x14ac:dyDescent="0.2">
      <c r="A34" s="11" t="s">
        <v>650</v>
      </c>
      <c r="B34" s="12" t="s">
        <v>34</v>
      </c>
      <c r="C34" s="12" t="s">
        <v>78</v>
      </c>
      <c r="D34" s="12">
        <v>15</v>
      </c>
      <c r="E34" s="12">
        <v>9</v>
      </c>
      <c r="F34" s="12">
        <v>5</v>
      </c>
      <c r="G34" s="12">
        <v>3</v>
      </c>
      <c r="H34" s="12">
        <v>31.8722500801086</v>
      </c>
      <c r="I34" s="12">
        <v>5.5265000640000004</v>
      </c>
      <c r="J34" s="12">
        <v>26.3457500161086</v>
      </c>
      <c r="K34" s="12">
        <v>17.372181499</v>
      </c>
      <c r="L34" s="12">
        <v>6.78157322499999</v>
      </c>
      <c r="M34" s="12">
        <v>6.3008216859999999</v>
      </c>
      <c r="N34" s="12">
        <v>438.79240966109899</v>
      </c>
      <c r="O34" s="12" t="s">
        <v>333</v>
      </c>
      <c r="P34" s="12">
        <v>53</v>
      </c>
      <c r="Q34" s="12">
        <v>57</v>
      </c>
      <c r="R34" s="12">
        <v>57</v>
      </c>
      <c r="S34" s="12">
        <v>32.627365112304602</v>
      </c>
      <c r="T34">
        <f t="shared" si="2"/>
        <v>0.75511503219600229</v>
      </c>
    </row>
    <row r="35" spans="1:20" x14ac:dyDescent="0.2">
      <c r="A35" s="11" t="s">
        <v>653</v>
      </c>
      <c r="B35" s="12" t="s">
        <v>34</v>
      </c>
      <c r="C35" s="12" t="s">
        <v>79</v>
      </c>
      <c r="D35" s="12">
        <v>15</v>
      </c>
      <c r="E35" s="12">
        <v>4</v>
      </c>
      <c r="F35" s="12">
        <v>2</v>
      </c>
      <c r="G35" s="12">
        <v>4</v>
      </c>
      <c r="H35" s="12">
        <v>20.848316907882602</v>
      </c>
      <c r="I35" s="12">
        <v>5.5759099240000003</v>
      </c>
      <c r="J35" s="12">
        <v>15.2724069838826</v>
      </c>
      <c r="K35" s="12">
        <v>11.275285792</v>
      </c>
      <c r="L35" s="12">
        <v>2.5898195830000001</v>
      </c>
      <c r="M35" s="12">
        <v>5.5945927749999997</v>
      </c>
      <c r="N35" s="12">
        <v>344.907195589867</v>
      </c>
      <c r="O35" s="12" t="s">
        <v>333</v>
      </c>
      <c r="P35" s="12">
        <v>7</v>
      </c>
      <c r="Q35" s="12">
        <v>5</v>
      </c>
      <c r="R35" s="12">
        <v>5</v>
      </c>
      <c r="S35" s="12">
        <v>21.8019919395446</v>
      </c>
      <c r="T35">
        <f t="shared" si="2"/>
        <v>0.95367503166199796</v>
      </c>
    </row>
    <row r="36" spans="1:20" x14ac:dyDescent="0.2">
      <c r="A36" s="11" t="s">
        <v>657</v>
      </c>
      <c r="B36" s="12" t="s">
        <v>34</v>
      </c>
      <c r="C36" s="12" t="s">
        <v>80</v>
      </c>
      <c r="D36" s="12">
        <v>15</v>
      </c>
      <c r="E36" s="12">
        <v>7</v>
      </c>
      <c r="F36" s="12">
        <v>4</v>
      </c>
      <c r="G36" s="12">
        <v>3</v>
      </c>
      <c r="H36" s="12">
        <v>27.950740098953201</v>
      </c>
      <c r="I36" s="12">
        <v>5.5179445749999996</v>
      </c>
      <c r="J36" s="12">
        <v>22.4327955239532</v>
      </c>
      <c r="K36" s="12">
        <v>11.585602033000001</v>
      </c>
      <c r="L36" s="12">
        <v>2.88837276499999</v>
      </c>
      <c r="M36" s="12">
        <v>12.075743823</v>
      </c>
      <c r="N36" s="12">
        <v>344.43035120638399</v>
      </c>
      <c r="O36" s="12" t="s">
        <v>333</v>
      </c>
      <c r="P36" s="12">
        <v>109</v>
      </c>
      <c r="Q36" s="12">
        <v>71</v>
      </c>
      <c r="R36" s="12">
        <v>109</v>
      </c>
      <c r="S36" s="12">
        <v>27.259603023528999</v>
      </c>
      <c r="T36">
        <f t="shared" si="2"/>
        <v>-0.69113707542420144</v>
      </c>
    </row>
    <row r="37" spans="1:20" x14ac:dyDescent="0.2">
      <c r="A37" s="11" t="s">
        <v>661</v>
      </c>
      <c r="B37" s="12" t="s">
        <v>34</v>
      </c>
      <c r="C37" s="12" t="s">
        <v>81</v>
      </c>
      <c r="D37" s="12">
        <v>15</v>
      </c>
      <c r="E37" s="12">
        <v>9</v>
      </c>
      <c r="F37" s="12">
        <v>5</v>
      </c>
      <c r="G37" s="12">
        <v>3</v>
      </c>
      <c r="H37" s="12">
        <v>29.341324090957599</v>
      </c>
      <c r="I37" s="12">
        <v>5.5319505739999997</v>
      </c>
      <c r="J37" s="12">
        <v>23.809373516957599</v>
      </c>
      <c r="K37" s="12">
        <v>17.261796534999998</v>
      </c>
      <c r="L37" s="12">
        <v>2.8845509659999999</v>
      </c>
      <c r="M37" s="12">
        <v>7.7425579080000002</v>
      </c>
      <c r="N37" s="12">
        <v>406.37621964697797</v>
      </c>
      <c r="O37" s="12" t="s">
        <v>333</v>
      </c>
      <c r="P37" s="12">
        <v>21</v>
      </c>
      <c r="Q37" s="12">
        <v>9</v>
      </c>
      <c r="R37" s="12">
        <v>9</v>
      </c>
      <c r="S37" s="12">
        <v>28.6009359359741</v>
      </c>
      <c r="T37">
        <f t="shared" si="2"/>
        <v>-0.74038815498349919</v>
      </c>
    </row>
    <row r="38" spans="1:20" x14ac:dyDescent="0.2">
      <c r="A38" s="11" t="s">
        <v>665</v>
      </c>
      <c r="B38" s="12" t="s">
        <v>34</v>
      </c>
      <c r="C38" s="12" t="s">
        <v>82</v>
      </c>
      <c r="D38" s="12">
        <v>15</v>
      </c>
      <c r="E38" s="12">
        <v>4</v>
      </c>
      <c r="F38" s="12">
        <v>2</v>
      </c>
      <c r="G38" s="12">
        <v>4</v>
      </c>
      <c r="H38" s="12">
        <v>16.5159060955047</v>
      </c>
      <c r="I38" s="12">
        <v>5.5313082199999997</v>
      </c>
      <c r="J38" s="12">
        <v>10.984597875504701</v>
      </c>
      <c r="K38" s="12">
        <v>11.255509829999999</v>
      </c>
      <c r="L38" s="12">
        <v>4.0290754010000001</v>
      </c>
      <c r="M38" s="12">
        <v>0</v>
      </c>
      <c r="N38" s="12">
        <v>404.62637067668101</v>
      </c>
      <c r="O38" s="12" t="s">
        <v>333</v>
      </c>
      <c r="P38" s="12">
        <v>2</v>
      </c>
      <c r="Q38" s="12">
        <v>2</v>
      </c>
      <c r="R38" s="12">
        <v>2</v>
      </c>
      <c r="S38" s="12">
        <v>17.085978031158401</v>
      </c>
      <c r="T38">
        <f t="shared" si="2"/>
        <v>0.57007193565370073</v>
      </c>
    </row>
    <row r="39" spans="1:20" x14ac:dyDescent="0.2">
      <c r="A39" s="11" t="s">
        <v>669</v>
      </c>
      <c r="B39" s="12" t="s">
        <v>34</v>
      </c>
      <c r="C39" s="12" t="s">
        <v>83</v>
      </c>
      <c r="D39" s="12">
        <v>15</v>
      </c>
      <c r="E39" s="12">
        <v>7</v>
      </c>
      <c r="F39" s="12">
        <v>4</v>
      </c>
      <c r="G39" s="12">
        <v>3</v>
      </c>
      <c r="H39" s="12">
        <v>24.404192924499501</v>
      </c>
      <c r="I39" s="12">
        <v>5.5426923959999996</v>
      </c>
      <c r="J39" s="12">
        <v>18.861500528499501</v>
      </c>
      <c r="K39" s="12">
        <v>11.751860679</v>
      </c>
      <c r="L39" s="12">
        <v>2.7791651209999899</v>
      </c>
      <c r="M39" s="12">
        <v>8.4663237450000004</v>
      </c>
      <c r="N39" s="12">
        <v>306.37536544450899</v>
      </c>
      <c r="O39" s="12" t="s">
        <v>333</v>
      </c>
      <c r="P39" s="12">
        <v>47</v>
      </c>
      <c r="Q39" s="12">
        <v>49</v>
      </c>
      <c r="R39" s="12">
        <v>39</v>
      </c>
      <c r="S39" s="12">
        <v>24.740211009979198</v>
      </c>
      <c r="T39">
        <f t="shared" si="2"/>
        <v>0.33601808547969725</v>
      </c>
    </row>
    <row r="40" spans="1:20" x14ac:dyDescent="0.2">
      <c r="A40" s="11" t="s">
        <v>673</v>
      </c>
      <c r="B40" s="12" t="s">
        <v>34</v>
      </c>
      <c r="C40" s="12" t="s">
        <v>84</v>
      </c>
      <c r="D40" s="12">
        <v>15</v>
      </c>
      <c r="E40" s="12">
        <v>9</v>
      </c>
      <c r="F40" s="12">
        <v>5</v>
      </c>
      <c r="G40" s="12">
        <v>3</v>
      </c>
      <c r="H40" s="12">
        <v>35.627234935760498</v>
      </c>
      <c r="I40" s="12">
        <v>5.5346986410000003</v>
      </c>
      <c r="J40" s="12">
        <v>30.0925362947605</v>
      </c>
      <c r="K40" s="12">
        <v>16.984460313</v>
      </c>
      <c r="L40" s="12">
        <v>2.7701456109999998</v>
      </c>
      <c r="M40" s="12">
        <v>14.459257190000001</v>
      </c>
      <c r="N40" s="12">
        <v>417.95489515321998</v>
      </c>
      <c r="O40" s="12" t="s">
        <v>333</v>
      </c>
      <c r="P40" s="12">
        <v>85</v>
      </c>
      <c r="Q40" s="12">
        <v>95</v>
      </c>
      <c r="R40" s="12">
        <v>123</v>
      </c>
      <c r="S40" s="12">
        <v>35.982726097106898</v>
      </c>
      <c r="T40">
        <f t="shared" si="2"/>
        <v>0.35549116134640002</v>
      </c>
    </row>
    <row r="41" spans="1:20" x14ac:dyDescent="0.2">
      <c r="A41" s="11" t="s">
        <v>677</v>
      </c>
      <c r="B41" s="12" t="s">
        <v>34</v>
      </c>
      <c r="C41" s="12" t="s">
        <v>85</v>
      </c>
      <c r="D41" s="12">
        <v>15</v>
      </c>
      <c r="E41" s="12">
        <v>4</v>
      </c>
      <c r="F41" s="12">
        <v>2</v>
      </c>
      <c r="G41" s="12">
        <v>4</v>
      </c>
      <c r="H41" s="12">
        <v>22.816253900527901</v>
      </c>
      <c r="I41" s="12">
        <v>5.5178908379999996</v>
      </c>
      <c r="J41" s="12">
        <v>17.298363062527901</v>
      </c>
      <c r="K41" s="12">
        <v>11.229588922</v>
      </c>
      <c r="L41" s="12">
        <v>2.8051922899999999</v>
      </c>
      <c r="M41" s="12">
        <v>7.3897084980000001</v>
      </c>
      <c r="N41" s="12">
        <v>414.79805324134702</v>
      </c>
      <c r="O41" s="12" t="s">
        <v>333</v>
      </c>
      <c r="P41" s="12">
        <v>35</v>
      </c>
      <c r="Q41" s="12">
        <v>17</v>
      </c>
      <c r="R41" s="12">
        <v>23</v>
      </c>
      <c r="S41" s="12">
        <v>22.382080078125</v>
      </c>
      <c r="T41">
        <f t="shared" si="2"/>
        <v>-0.43417382240290081</v>
      </c>
    </row>
    <row r="42" spans="1:20" x14ac:dyDescent="0.2">
      <c r="A42" s="11" t="s">
        <v>680</v>
      </c>
      <c r="B42" s="12" t="s">
        <v>34</v>
      </c>
      <c r="C42" s="12" t="s">
        <v>86</v>
      </c>
      <c r="D42" s="12">
        <v>15</v>
      </c>
      <c r="E42" s="12">
        <v>7</v>
      </c>
      <c r="F42" s="12">
        <v>4</v>
      </c>
      <c r="G42" s="12">
        <v>3</v>
      </c>
      <c r="H42" s="12">
        <v>17.871028900146399</v>
      </c>
      <c r="I42" s="12">
        <v>5.5325435670000003</v>
      </c>
      <c r="J42" s="12">
        <v>12.3384853331464</v>
      </c>
      <c r="K42" s="12">
        <v>11.68104471</v>
      </c>
      <c r="L42" s="12">
        <v>4.949485245</v>
      </c>
      <c r="M42" s="12">
        <v>0</v>
      </c>
      <c r="N42" s="12">
        <v>318.84458180724403</v>
      </c>
      <c r="O42" s="12" t="s">
        <v>333</v>
      </c>
      <c r="P42" s="12">
        <v>7</v>
      </c>
      <c r="Q42" s="12">
        <v>7</v>
      </c>
      <c r="R42" s="12">
        <v>7</v>
      </c>
      <c r="S42" s="12">
        <v>18.0000660419464</v>
      </c>
      <c r="T42">
        <f t="shared" si="2"/>
        <v>0.12903714180000136</v>
      </c>
    </row>
    <row r="43" spans="1:20" x14ac:dyDescent="0.2">
      <c r="A43" s="11" t="s">
        <v>684</v>
      </c>
      <c r="B43" s="12" t="s">
        <v>34</v>
      </c>
      <c r="C43" s="12" t="s">
        <v>87</v>
      </c>
      <c r="D43" s="12">
        <v>15</v>
      </c>
      <c r="E43" s="12">
        <v>9</v>
      </c>
      <c r="F43" s="12">
        <v>5</v>
      </c>
      <c r="G43" s="12">
        <v>3</v>
      </c>
      <c r="H43" s="12">
        <v>31.124720096588099</v>
      </c>
      <c r="I43" s="12">
        <v>5.5208365370000001</v>
      </c>
      <c r="J43" s="12">
        <v>25.603883559588098</v>
      </c>
      <c r="K43" s="12">
        <v>17.555783357999999</v>
      </c>
      <c r="L43" s="12">
        <v>2.6730787249999999</v>
      </c>
      <c r="M43" s="12">
        <v>9.4789720230000007</v>
      </c>
      <c r="N43" s="12">
        <v>362.090963027469</v>
      </c>
      <c r="O43" s="12" t="s">
        <v>333</v>
      </c>
      <c r="P43" s="12">
        <v>51</v>
      </c>
      <c r="Q43" s="12">
        <v>49</v>
      </c>
      <c r="R43" s="12">
        <v>47</v>
      </c>
      <c r="S43" s="12">
        <v>31.6556088924407</v>
      </c>
      <c r="T43">
        <f t="shared" si="2"/>
        <v>0.53088879585260074</v>
      </c>
    </row>
    <row r="44" spans="1:20" x14ac:dyDescent="0.2">
      <c r="A44" s="11" t="s">
        <v>688</v>
      </c>
      <c r="B44" s="12" t="s">
        <v>34</v>
      </c>
      <c r="C44" s="12" t="s">
        <v>88</v>
      </c>
      <c r="D44" s="12">
        <v>15</v>
      </c>
      <c r="E44" s="12">
        <v>4</v>
      </c>
      <c r="F44" s="12">
        <v>2</v>
      </c>
      <c r="G44" s="12">
        <v>3</v>
      </c>
      <c r="H44" s="12">
        <v>22.484897851943899</v>
      </c>
      <c r="I44" s="12">
        <v>5.5502213129999998</v>
      </c>
      <c r="J44" s="12">
        <v>16.934676538943901</v>
      </c>
      <c r="K44" s="12">
        <v>11.293722989000001</v>
      </c>
      <c r="L44" s="12">
        <v>4.2271940719999996</v>
      </c>
      <c r="M44" s="12">
        <v>5.5750129340000001</v>
      </c>
      <c r="N44" s="12">
        <v>362.17880575783101</v>
      </c>
      <c r="O44" s="12" t="s">
        <v>333</v>
      </c>
      <c r="P44" s="12">
        <v>8</v>
      </c>
      <c r="Q44" s="12">
        <v>6</v>
      </c>
      <c r="R44" s="12">
        <v>6</v>
      </c>
      <c r="S44" s="12">
        <v>22.745630025863601</v>
      </c>
      <c r="T44">
        <f t="shared" si="2"/>
        <v>0.2607321739197026</v>
      </c>
    </row>
    <row r="45" spans="1:20" x14ac:dyDescent="0.2">
      <c r="A45" s="11" t="s">
        <v>692</v>
      </c>
      <c r="B45" s="12" t="s">
        <v>34</v>
      </c>
      <c r="C45" s="12" t="s">
        <v>89</v>
      </c>
      <c r="D45" s="12">
        <v>15</v>
      </c>
      <c r="E45" s="12">
        <v>7</v>
      </c>
      <c r="F45" s="12">
        <v>4</v>
      </c>
      <c r="G45" s="12">
        <v>3</v>
      </c>
      <c r="H45" s="12">
        <v>26.535646915435699</v>
      </c>
      <c r="I45" s="12">
        <v>5.5433400390000003</v>
      </c>
      <c r="J45" s="12">
        <v>20.992306876435698</v>
      </c>
      <c r="K45" s="12">
        <v>11.675304826</v>
      </c>
      <c r="L45" s="12">
        <v>2.77474159099999</v>
      </c>
      <c r="M45" s="12">
        <v>10.679920765</v>
      </c>
      <c r="N45" s="12">
        <v>328.35823822856599</v>
      </c>
      <c r="O45" s="12" t="s">
        <v>333</v>
      </c>
      <c r="P45" s="12">
        <v>93</v>
      </c>
      <c r="Q45" s="12">
        <v>473</v>
      </c>
      <c r="R45" s="12">
        <v>473</v>
      </c>
      <c r="S45" s="12">
        <v>47.476000070571899</v>
      </c>
      <c r="T45">
        <f t="shared" si="2"/>
        <v>20.940353155136201</v>
      </c>
    </row>
    <row r="46" spans="1:20" x14ac:dyDescent="0.2">
      <c r="A46" s="11" t="s">
        <v>696</v>
      </c>
      <c r="B46" s="12" t="s">
        <v>34</v>
      </c>
      <c r="C46" s="12" t="s">
        <v>90</v>
      </c>
      <c r="D46" s="12">
        <v>15</v>
      </c>
      <c r="E46" s="12">
        <v>9</v>
      </c>
      <c r="F46" s="12">
        <v>5</v>
      </c>
      <c r="G46" s="12">
        <v>3</v>
      </c>
      <c r="H46" s="12">
        <v>29.598907947540201</v>
      </c>
      <c r="I46" s="12">
        <v>5.5439113869999996</v>
      </c>
      <c r="J46" s="12">
        <v>24.0549965605402</v>
      </c>
      <c r="K46" s="12">
        <v>17.044461393999999</v>
      </c>
      <c r="L46" s="12">
        <v>3.0885013020000001</v>
      </c>
      <c r="M46" s="12">
        <v>8.0548212659999994</v>
      </c>
      <c r="N46" s="12">
        <v>360.86227436383598</v>
      </c>
      <c r="O46" s="12" t="s">
        <v>333</v>
      </c>
      <c r="P46" s="12">
        <v>19</v>
      </c>
      <c r="Q46" s="12">
        <v>17</v>
      </c>
      <c r="R46" s="12">
        <v>17</v>
      </c>
      <c r="S46" s="12">
        <v>29.296499967574999</v>
      </c>
      <c r="T46">
        <f t="shared" si="2"/>
        <v>-0.30240797996520286</v>
      </c>
    </row>
    <row r="47" spans="1:20" x14ac:dyDescent="0.2">
      <c r="A47" s="11" t="s">
        <v>700</v>
      </c>
      <c r="B47" s="12" t="s">
        <v>34</v>
      </c>
      <c r="C47" s="12" t="s">
        <v>91</v>
      </c>
      <c r="D47" s="12">
        <v>15</v>
      </c>
      <c r="E47" s="12">
        <v>4</v>
      </c>
      <c r="F47" s="12">
        <v>2</v>
      </c>
      <c r="G47" s="12">
        <v>4</v>
      </c>
      <c r="H47" s="12">
        <v>21.5192580223083</v>
      </c>
      <c r="I47" s="12">
        <v>5.5321533609999998</v>
      </c>
      <c r="J47" s="12">
        <v>15.987104661308299</v>
      </c>
      <c r="K47" s="12">
        <v>11.260213023</v>
      </c>
      <c r="L47" s="12">
        <v>2.5596679889999998</v>
      </c>
      <c r="M47" s="12">
        <v>6.3061193019999999</v>
      </c>
      <c r="N47" s="12">
        <v>432.43329039236801</v>
      </c>
      <c r="O47" s="12" t="s">
        <v>333</v>
      </c>
      <c r="P47" s="12">
        <v>11</v>
      </c>
      <c r="Q47" s="12">
        <v>43</v>
      </c>
      <c r="R47" s="12">
        <v>45</v>
      </c>
      <c r="S47" s="12">
        <v>22.8515849113464</v>
      </c>
      <c r="T47">
        <f t="shared" si="2"/>
        <v>1.3323268890381001</v>
      </c>
    </row>
    <row r="48" spans="1:20" x14ac:dyDescent="0.2">
      <c r="A48" s="11" t="s">
        <v>704</v>
      </c>
      <c r="B48" s="12" t="s">
        <v>34</v>
      </c>
      <c r="C48" s="12" t="s">
        <v>92</v>
      </c>
      <c r="D48" s="12">
        <v>15</v>
      </c>
      <c r="E48" s="12">
        <v>7</v>
      </c>
      <c r="F48" s="12">
        <v>4</v>
      </c>
      <c r="G48" s="12">
        <v>3</v>
      </c>
      <c r="H48" s="12">
        <v>22.732959985733</v>
      </c>
      <c r="I48" s="12">
        <v>5.5255024839999898</v>
      </c>
      <c r="J48" s="12">
        <v>17.207457501733</v>
      </c>
      <c r="K48" s="12">
        <v>11.658691069</v>
      </c>
      <c r="L48" s="12">
        <v>3.5481057469999899</v>
      </c>
      <c r="M48" s="12">
        <v>6.0437404260000003</v>
      </c>
      <c r="N48" s="12">
        <v>404.77297938692698</v>
      </c>
      <c r="O48" s="12" t="s">
        <v>333</v>
      </c>
      <c r="P48" s="12">
        <v>26</v>
      </c>
      <c r="Q48" s="12">
        <v>24</v>
      </c>
      <c r="R48" s="12">
        <v>26</v>
      </c>
      <c r="S48" s="12">
        <v>22.865054130554199</v>
      </c>
      <c r="T48">
        <f t="shared" si="2"/>
        <v>0.13209414482119897</v>
      </c>
    </row>
    <row r="49" spans="1:20" x14ac:dyDescent="0.2">
      <c r="A49" s="11" t="s">
        <v>708</v>
      </c>
      <c r="B49" s="12" t="s">
        <v>34</v>
      </c>
      <c r="C49" s="12" t="s">
        <v>93</v>
      </c>
      <c r="D49" s="12">
        <v>15</v>
      </c>
      <c r="E49" s="12">
        <v>9</v>
      </c>
      <c r="F49" s="12">
        <v>5</v>
      </c>
      <c r="G49" s="12">
        <v>3</v>
      </c>
      <c r="H49" s="12">
        <v>27.8804640769958</v>
      </c>
      <c r="I49" s="12">
        <v>5.5290881330000001</v>
      </c>
      <c r="J49" s="12">
        <v>22.351375943995802</v>
      </c>
      <c r="K49" s="12">
        <v>17.365420257</v>
      </c>
      <c r="L49" s="12">
        <v>2.6029556709999899</v>
      </c>
      <c r="M49" s="12">
        <v>6.5007057350000004</v>
      </c>
      <c r="N49" s="12">
        <v>426.947268663616</v>
      </c>
      <c r="O49" s="12" t="s">
        <v>333</v>
      </c>
      <c r="P49" s="12">
        <v>15</v>
      </c>
      <c r="Q49" s="12">
        <v>13</v>
      </c>
      <c r="R49" s="12">
        <v>13</v>
      </c>
      <c r="S49" s="12">
        <v>28.311893224716101</v>
      </c>
      <c r="T49">
        <f t="shared" si="2"/>
        <v>0.43142914772030139</v>
      </c>
    </row>
    <row r="50" spans="1:20" x14ac:dyDescent="0.2">
      <c r="A50" s="11" t="s">
        <v>712</v>
      </c>
      <c r="B50" s="12" t="s">
        <v>34</v>
      </c>
      <c r="C50" s="12" t="s">
        <v>94</v>
      </c>
      <c r="D50" s="12">
        <v>15</v>
      </c>
      <c r="E50" s="12">
        <v>4</v>
      </c>
      <c r="F50" s="12">
        <v>2</v>
      </c>
      <c r="G50" s="12">
        <v>3</v>
      </c>
      <c r="H50" s="12">
        <v>15.917179107666</v>
      </c>
      <c r="I50" s="12">
        <v>5.5312785629999999</v>
      </c>
      <c r="J50" s="12">
        <v>10.385900544666001</v>
      </c>
      <c r="K50" s="12">
        <v>11.242827342</v>
      </c>
      <c r="L50" s="12">
        <v>3.4358998829999998</v>
      </c>
      <c r="M50" s="12">
        <v>0</v>
      </c>
      <c r="N50" s="12">
        <v>346.11204055300198</v>
      </c>
      <c r="O50" s="12" t="s">
        <v>333</v>
      </c>
      <c r="P50" s="12">
        <v>2</v>
      </c>
      <c r="Q50" s="12">
        <v>2</v>
      </c>
      <c r="R50" s="12">
        <v>2</v>
      </c>
      <c r="S50" s="12">
        <v>15.8992018699646</v>
      </c>
      <c r="T50">
        <f t="shared" si="2"/>
        <v>-1.7977237701400028E-2</v>
      </c>
    </row>
    <row r="51" spans="1:20" x14ac:dyDescent="0.2">
      <c r="A51" s="11" t="s">
        <v>716</v>
      </c>
      <c r="B51" s="12" t="s">
        <v>34</v>
      </c>
      <c r="C51" s="12" t="s">
        <v>95</v>
      </c>
      <c r="D51" s="12">
        <v>15</v>
      </c>
      <c r="E51" s="12">
        <v>7</v>
      </c>
      <c r="F51" s="12">
        <v>4</v>
      </c>
      <c r="G51" s="12">
        <v>3</v>
      </c>
      <c r="H51" s="12">
        <v>40.1039719581604</v>
      </c>
      <c r="I51" s="12">
        <v>5.5324046960000004</v>
      </c>
      <c r="J51" s="12">
        <v>34.5715672621604</v>
      </c>
      <c r="K51" s="12">
        <v>11.60557335</v>
      </c>
      <c r="L51" s="12">
        <v>2.706211428</v>
      </c>
      <c r="M51" s="12">
        <v>24.298606413000002</v>
      </c>
      <c r="N51" s="12">
        <v>347.89890304146297</v>
      </c>
      <c r="O51" s="12" t="s">
        <v>333</v>
      </c>
      <c r="P51" s="12">
        <v>385</v>
      </c>
      <c r="Q51" s="12">
        <v>25</v>
      </c>
      <c r="R51" s="12">
        <v>23</v>
      </c>
      <c r="S51" s="12">
        <v>23.128243923187199</v>
      </c>
      <c r="T51">
        <f t="shared" si="2"/>
        <v>-16.975728034973201</v>
      </c>
    </row>
    <row r="52" spans="1:20" x14ac:dyDescent="0.2">
      <c r="A52" s="11" t="s">
        <v>720</v>
      </c>
      <c r="B52" s="12" t="s">
        <v>34</v>
      </c>
      <c r="C52" s="12" t="s">
        <v>96</v>
      </c>
      <c r="D52" s="12">
        <v>15</v>
      </c>
      <c r="E52" s="12">
        <v>9</v>
      </c>
      <c r="F52" s="12">
        <v>5</v>
      </c>
      <c r="G52" s="12">
        <v>3</v>
      </c>
      <c r="H52" s="12">
        <v>30.530497074127101</v>
      </c>
      <c r="I52" s="12">
        <v>5.5379402219999996</v>
      </c>
      <c r="J52" s="12">
        <v>24.992556852127102</v>
      </c>
      <c r="K52" s="12">
        <v>17.103477116000001</v>
      </c>
      <c r="L52" s="12">
        <v>6.295127248</v>
      </c>
      <c r="M52" s="12">
        <v>5.7189221420000003</v>
      </c>
      <c r="N52" s="12">
        <v>409.85191654430702</v>
      </c>
      <c r="O52" s="12" t="s">
        <v>333</v>
      </c>
      <c r="P52" s="12">
        <v>48</v>
      </c>
      <c r="Q52" s="12">
        <v>42</v>
      </c>
      <c r="R52" s="12">
        <v>42</v>
      </c>
      <c r="S52" s="12">
        <v>30.461462974548301</v>
      </c>
      <c r="T52">
        <f t="shared" si="2"/>
        <v>-6.9034099578800578E-2</v>
      </c>
    </row>
    <row r="53" spans="1:20" x14ac:dyDescent="0.2">
      <c r="A53" s="11" t="s">
        <v>724</v>
      </c>
      <c r="B53" s="12" t="s">
        <v>34</v>
      </c>
      <c r="C53" s="12" t="s">
        <v>97</v>
      </c>
      <c r="D53" s="12">
        <v>15</v>
      </c>
      <c r="E53" s="12">
        <v>4</v>
      </c>
      <c r="F53" s="12">
        <v>2</v>
      </c>
      <c r="G53" s="12">
        <v>3</v>
      </c>
      <c r="H53" s="12">
        <v>21.536834001541099</v>
      </c>
      <c r="I53" s="12">
        <v>5.5330413369999896</v>
      </c>
      <c r="J53" s="12">
        <v>16.003792664541098</v>
      </c>
      <c r="K53" s="12">
        <v>11.267281259000001</v>
      </c>
      <c r="L53" s="12">
        <v>3.6726040150000001</v>
      </c>
      <c r="M53" s="12">
        <v>5.1943589719999999</v>
      </c>
      <c r="N53" s="12">
        <v>409.58401854260802</v>
      </c>
      <c r="O53" s="12" t="s">
        <v>333</v>
      </c>
      <c r="P53" s="12">
        <v>11</v>
      </c>
      <c r="Q53" s="12">
        <v>9</v>
      </c>
      <c r="R53" s="12">
        <v>9</v>
      </c>
      <c r="S53" s="12">
        <v>21.917057037353501</v>
      </c>
      <c r="T53">
        <f t="shared" si="2"/>
        <v>0.3802230358124028</v>
      </c>
    </row>
    <row r="54" spans="1:20" x14ac:dyDescent="0.2">
      <c r="A54" s="11" t="s">
        <v>728</v>
      </c>
      <c r="B54" s="12" t="s">
        <v>34</v>
      </c>
      <c r="C54" s="12" t="s">
        <v>98</v>
      </c>
      <c r="D54" s="12">
        <v>15</v>
      </c>
      <c r="E54" s="12">
        <v>7</v>
      </c>
      <c r="F54" s="12">
        <v>4</v>
      </c>
      <c r="G54" s="12">
        <v>3</v>
      </c>
      <c r="H54" s="12">
        <v>16.731660127639699</v>
      </c>
      <c r="I54" s="12">
        <v>5.5305114900000003</v>
      </c>
      <c r="J54" s="12">
        <v>11.201148637639699</v>
      </c>
      <c r="K54" s="12">
        <v>11.720891757</v>
      </c>
      <c r="L54" s="12">
        <v>3.7649971839999901</v>
      </c>
      <c r="M54" s="12">
        <v>0</v>
      </c>
      <c r="N54" s="12">
        <v>306.93271265014999</v>
      </c>
      <c r="O54" s="12" t="s">
        <v>333</v>
      </c>
      <c r="P54" s="12">
        <v>5</v>
      </c>
      <c r="Q54" s="12">
        <v>5</v>
      </c>
      <c r="R54" s="12">
        <v>5</v>
      </c>
      <c r="S54" s="12">
        <v>16.715304851531901</v>
      </c>
      <c r="T54">
        <f t="shared" si="2"/>
        <v>-1.6355276107798744E-2</v>
      </c>
    </row>
    <row r="55" spans="1:20" x14ac:dyDescent="0.2">
      <c r="A55" s="11" t="s">
        <v>731</v>
      </c>
      <c r="B55" s="12" t="s">
        <v>34</v>
      </c>
      <c r="C55" s="12" t="s">
        <v>99</v>
      </c>
      <c r="D55" s="12">
        <v>15</v>
      </c>
      <c r="E55" s="12">
        <v>9</v>
      </c>
      <c r="F55" s="12">
        <v>5</v>
      </c>
      <c r="G55" s="12">
        <v>3</v>
      </c>
      <c r="H55" s="12">
        <v>30.4367339611053</v>
      </c>
      <c r="I55" s="12">
        <v>5.5386216159999897</v>
      </c>
      <c r="J55" s="12">
        <v>24.8981123451053</v>
      </c>
      <c r="K55" s="12">
        <v>17.056411411999999</v>
      </c>
      <c r="L55" s="12">
        <v>2.7072497420000001</v>
      </c>
      <c r="M55" s="12">
        <v>9.2520094129999997</v>
      </c>
      <c r="N55" s="12">
        <v>421.83386504963801</v>
      </c>
      <c r="O55" s="12" t="s">
        <v>333</v>
      </c>
      <c r="P55" s="12">
        <v>55</v>
      </c>
      <c r="Q55" s="12">
        <v>41</v>
      </c>
      <c r="R55" s="12">
        <v>37</v>
      </c>
      <c r="S55" s="12">
        <v>29.589771032333299</v>
      </c>
      <c r="T55">
        <f t="shared" si="2"/>
        <v>-0.84696292877200108</v>
      </c>
    </row>
    <row r="56" spans="1:20" x14ac:dyDescent="0.2">
      <c r="A56" s="11" t="s">
        <v>735</v>
      </c>
      <c r="B56" s="12" t="s">
        <v>34</v>
      </c>
      <c r="C56" s="12" t="s">
        <v>100</v>
      </c>
      <c r="D56" s="12">
        <v>15</v>
      </c>
      <c r="E56" s="12">
        <v>4</v>
      </c>
      <c r="F56" s="12">
        <v>2</v>
      </c>
      <c r="G56" s="12">
        <v>4</v>
      </c>
      <c r="H56" s="12">
        <v>21.437269926071099</v>
      </c>
      <c r="I56" s="12">
        <v>5.521808547</v>
      </c>
      <c r="J56" s="12">
        <v>15.9154613790711</v>
      </c>
      <c r="K56" s="12">
        <v>11.236759151999999</v>
      </c>
      <c r="L56" s="12">
        <v>2.5013371079999902</v>
      </c>
      <c r="M56" s="12">
        <v>6.3106954359999996</v>
      </c>
      <c r="N56" s="12">
        <v>425.73855345323301</v>
      </c>
      <c r="O56" s="12" t="s">
        <v>333</v>
      </c>
      <c r="P56" s="12">
        <v>15</v>
      </c>
      <c r="Q56" s="12">
        <v>9</v>
      </c>
      <c r="R56" s="12">
        <v>13</v>
      </c>
      <c r="S56" s="12">
        <v>21.916850090026799</v>
      </c>
      <c r="T56">
        <f t="shared" si="2"/>
        <v>0.47958016395569913</v>
      </c>
    </row>
    <row r="57" spans="1:20" x14ac:dyDescent="0.2">
      <c r="A57" s="11" t="s">
        <v>739</v>
      </c>
      <c r="B57" s="12" t="s">
        <v>34</v>
      </c>
      <c r="C57" s="12" t="s">
        <v>101</v>
      </c>
      <c r="D57" s="12">
        <v>15</v>
      </c>
      <c r="E57" s="12">
        <v>7</v>
      </c>
      <c r="F57" s="12">
        <v>4</v>
      </c>
      <c r="G57" s="12">
        <v>3</v>
      </c>
      <c r="H57" s="12">
        <v>24.240434885025</v>
      </c>
      <c r="I57" s="12">
        <v>5.5207572430000003</v>
      </c>
      <c r="J57" s="12">
        <v>18.719677642025001</v>
      </c>
      <c r="K57" s="12">
        <v>11.702698123999999</v>
      </c>
      <c r="L57" s="12">
        <v>2.6149036959999998</v>
      </c>
      <c r="M57" s="12">
        <v>8.4285632649999993</v>
      </c>
      <c r="N57" s="12">
        <v>326.22392328120799</v>
      </c>
      <c r="O57" s="12" t="s">
        <v>333</v>
      </c>
      <c r="P57" s="12">
        <v>57</v>
      </c>
      <c r="Q57" s="12">
        <v>95</v>
      </c>
      <c r="R57" s="12">
        <v>95</v>
      </c>
      <c r="S57" s="12">
        <v>26.0704200267791</v>
      </c>
      <c r="T57">
        <f t="shared" si="2"/>
        <v>1.8299851417541007</v>
      </c>
    </row>
    <row r="58" spans="1:20" x14ac:dyDescent="0.2">
      <c r="A58" s="11" t="s">
        <v>743</v>
      </c>
      <c r="B58" s="12" t="s">
        <v>34</v>
      </c>
      <c r="C58" s="12" t="s">
        <v>102</v>
      </c>
      <c r="D58" s="12">
        <v>15</v>
      </c>
      <c r="E58" s="12">
        <v>9</v>
      </c>
      <c r="F58" s="12">
        <v>5</v>
      </c>
      <c r="G58" s="12">
        <v>3</v>
      </c>
      <c r="H58" s="12">
        <v>33.112030029296797</v>
      </c>
      <c r="I58" s="12">
        <v>5.5386381569999896</v>
      </c>
      <c r="J58" s="12">
        <v>27.573391872296799</v>
      </c>
      <c r="K58" s="12">
        <v>17.555398071999999</v>
      </c>
      <c r="L58" s="12">
        <v>2.6999380140000002</v>
      </c>
      <c r="M58" s="12">
        <v>11.444053739999999</v>
      </c>
      <c r="N58" s="12">
        <v>368.25972430336702</v>
      </c>
      <c r="O58" s="12" t="s">
        <v>333</v>
      </c>
      <c r="P58" s="12">
        <v>117</v>
      </c>
      <c r="Q58" s="12">
        <v>333</v>
      </c>
      <c r="R58" s="12">
        <v>371</v>
      </c>
      <c r="S58" s="12">
        <v>42.7655639648437</v>
      </c>
      <c r="T58">
        <f t="shared" si="2"/>
        <v>9.6535339355469034</v>
      </c>
    </row>
    <row r="59" spans="1:20" x14ac:dyDescent="0.2">
      <c r="A59" s="11" t="s">
        <v>747</v>
      </c>
      <c r="B59" s="12" t="s">
        <v>34</v>
      </c>
      <c r="C59" s="12" t="s">
        <v>103</v>
      </c>
      <c r="D59" s="12">
        <v>15</v>
      </c>
      <c r="E59" s="12">
        <v>4</v>
      </c>
      <c r="F59" s="12">
        <v>2</v>
      </c>
      <c r="G59" s="12">
        <v>4</v>
      </c>
      <c r="H59" s="12">
        <v>23.341577053070001</v>
      </c>
      <c r="I59" s="12">
        <v>5.5471573679999997</v>
      </c>
      <c r="J59" s="12">
        <v>17.79441968507</v>
      </c>
      <c r="K59" s="12">
        <v>11.292493244999999</v>
      </c>
      <c r="L59" s="12">
        <v>2.5396095879999998</v>
      </c>
      <c r="M59" s="12">
        <v>8.1164073670000008</v>
      </c>
      <c r="N59" s="12">
        <v>384.574165310654</v>
      </c>
      <c r="O59" s="12" t="s">
        <v>333</v>
      </c>
      <c r="P59" s="12">
        <v>81</v>
      </c>
      <c r="Q59" s="12">
        <v>33</v>
      </c>
      <c r="R59" s="12">
        <v>33</v>
      </c>
      <c r="S59" s="12">
        <v>22.507272005081099</v>
      </c>
      <c r="T59">
        <f t="shared" si="2"/>
        <v>-0.83430504798890226</v>
      </c>
    </row>
    <row r="60" spans="1:20" x14ac:dyDescent="0.2">
      <c r="A60" s="11" t="s">
        <v>751</v>
      </c>
      <c r="B60" s="12" t="s">
        <v>34</v>
      </c>
      <c r="C60" s="12" t="s">
        <v>104</v>
      </c>
      <c r="D60" s="12">
        <v>15</v>
      </c>
      <c r="E60" s="12">
        <v>7</v>
      </c>
      <c r="F60" s="12">
        <v>4</v>
      </c>
      <c r="G60" s="12">
        <v>3</v>
      </c>
      <c r="H60" s="12">
        <v>23.579439163208001</v>
      </c>
      <c r="I60" s="12">
        <v>5.5312076670000003</v>
      </c>
      <c r="J60" s="12">
        <v>18.048231496208</v>
      </c>
      <c r="K60" s="12">
        <v>11.654928667</v>
      </c>
      <c r="L60" s="12">
        <v>2.6842154389999902</v>
      </c>
      <c r="M60" s="12">
        <v>7.8178889189999996</v>
      </c>
      <c r="N60" s="12">
        <v>331.75037711574998</v>
      </c>
      <c r="O60" s="12" t="s">
        <v>333</v>
      </c>
      <c r="P60" s="12">
        <v>41</v>
      </c>
      <c r="Q60" s="12">
        <v>51</v>
      </c>
      <c r="R60" s="12">
        <v>51</v>
      </c>
      <c r="S60" s="12">
        <v>24.001521825790402</v>
      </c>
      <c r="T60">
        <f t="shared" si="2"/>
        <v>0.42208266258240101</v>
      </c>
    </row>
    <row r="61" spans="1:20" x14ac:dyDescent="0.2">
      <c r="A61" s="11" t="s">
        <v>755</v>
      </c>
      <c r="B61" s="12" t="s">
        <v>34</v>
      </c>
      <c r="C61" s="12" t="s">
        <v>455</v>
      </c>
      <c r="D61" s="12">
        <v>15</v>
      </c>
      <c r="E61" s="12">
        <v>9</v>
      </c>
      <c r="F61" s="12">
        <v>5</v>
      </c>
      <c r="G61" s="12">
        <v>3</v>
      </c>
      <c r="H61" s="12">
        <v>28.064679861068701</v>
      </c>
      <c r="I61" s="12">
        <v>5.5454702620000003</v>
      </c>
      <c r="J61" s="12">
        <v>22.519209599068699</v>
      </c>
      <c r="K61" s="12">
        <v>17.455209472</v>
      </c>
      <c r="L61" s="12">
        <v>2.7655997559999999</v>
      </c>
      <c r="M61" s="12">
        <v>6.4297318189999997</v>
      </c>
      <c r="N61" s="12">
        <v>345.55459765393101</v>
      </c>
      <c r="O61" s="12" t="s">
        <v>333</v>
      </c>
      <c r="P61" s="12">
        <v>11</v>
      </c>
      <c r="Q61" s="12">
        <v>5</v>
      </c>
      <c r="R61" s="12">
        <v>5</v>
      </c>
      <c r="S61" s="12">
        <v>28.059263944625801</v>
      </c>
      <c r="T61">
        <f t="shared" si="2"/>
        <v>-5.4159164428995155E-3</v>
      </c>
    </row>
    <row r="62" spans="1:20" s="33" customFormat="1" x14ac:dyDescent="0.2">
      <c r="A62" s="48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>
        <f>AVERAGE(P2:P61)</f>
        <v>36.116666666666667</v>
      </c>
      <c r="Q62" s="35">
        <f>AVERAGE(Q2:Q61)</f>
        <v>41.516666666666666</v>
      </c>
      <c r="R62" s="35">
        <f>AVERAGE(R2:R61)</f>
        <v>44.35</v>
      </c>
      <c r="S62" s="35"/>
    </row>
    <row r="63" spans="1:20" x14ac:dyDescent="0.2">
      <c r="A63" s="11" t="s">
        <v>523</v>
      </c>
      <c r="B63" s="12" t="s">
        <v>34</v>
      </c>
      <c r="C63" s="12" t="s">
        <v>105</v>
      </c>
      <c r="D63" s="12">
        <v>20</v>
      </c>
      <c r="E63" s="12">
        <v>4</v>
      </c>
      <c r="F63" s="12">
        <v>2</v>
      </c>
      <c r="G63" s="12">
        <v>6</v>
      </c>
      <c r="H63" s="12">
        <v>21.689008951187098</v>
      </c>
      <c r="I63" s="12">
        <v>5.5173463529999998</v>
      </c>
      <c r="J63" s="12">
        <v>16.171662598187101</v>
      </c>
      <c r="K63" s="12">
        <v>11.291653108</v>
      </c>
      <c r="L63" s="12">
        <v>2.6083492559999999</v>
      </c>
      <c r="M63" s="12">
        <v>6.3904059459999996</v>
      </c>
      <c r="N63" s="12">
        <v>483.371977926461</v>
      </c>
      <c r="O63" s="12" t="s">
        <v>333</v>
      </c>
      <c r="P63" s="12">
        <v>11</v>
      </c>
      <c r="Q63" s="12">
        <v>11</v>
      </c>
      <c r="S63" s="12">
        <v>22.167442798614498</v>
      </c>
      <c r="T63">
        <f t="shared" si="2"/>
        <v>0.47843384742740014</v>
      </c>
    </row>
    <row r="64" spans="1:20" x14ac:dyDescent="0.2">
      <c r="A64" s="11" t="s">
        <v>527</v>
      </c>
      <c r="B64" s="12" t="s">
        <v>34</v>
      </c>
      <c r="C64" s="12" t="s">
        <v>472</v>
      </c>
      <c r="D64" s="12">
        <v>20</v>
      </c>
      <c r="E64" s="12">
        <v>7</v>
      </c>
      <c r="F64" s="12">
        <v>4</v>
      </c>
      <c r="G64" s="12">
        <v>4</v>
      </c>
      <c r="H64" s="12">
        <v>20.1933269500732</v>
      </c>
      <c r="I64" s="12">
        <v>5.5239549449999998</v>
      </c>
      <c r="J64" s="12">
        <v>14.6693720050732</v>
      </c>
      <c r="K64" s="12">
        <v>12.109417283000001</v>
      </c>
      <c r="L64" s="12">
        <v>6.8349770899999998</v>
      </c>
      <c r="M64" s="12">
        <v>0</v>
      </c>
      <c r="N64" s="12">
        <v>419.70852800339497</v>
      </c>
      <c r="O64" s="12" t="s">
        <v>333</v>
      </c>
      <c r="P64" s="12">
        <v>30</v>
      </c>
      <c r="Q64" s="12">
        <v>30</v>
      </c>
      <c r="S64" s="12">
        <v>20.182524919509799</v>
      </c>
      <c r="T64">
        <f t="shared" si="2"/>
        <v>-1.0802030563400677E-2</v>
      </c>
    </row>
    <row r="65" spans="1:20" x14ac:dyDescent="0.2">
      <c r="A65" s="11" t="s">
        <v>531</v>
      </c>
      <c r="B65" s="12" t="s">
        <v>34</v>
      </c>
      <c r="C65" s="12" t="s">
        <v>473</v>
      </c>
      <c r="D65" s="12">
        <v>20</v>
      </c>
      <c r="E65" s="12">
        <v>10</v>
      </c>
      <c r="F65" s="12">
        <v>5</v>
      </c>
      <c r="G65" s="12">
        <v>4</v>
      </c>
      <c r="H65" s="12">
        <v>65.312678098678504</v>
      </c>
      <c r="I65" s="12">
        <v>5.5436498109999999</v>
      </c>
      <c r="J65" s="12">
        <v>59.769028287678502</v>
      </c>
      <c r="K65" s="12">
        <v>30.030510665000001</v>
      </c>
      <c r="L65" s="12">
        <v>3.0837520079999998</v>
      </c>
      <c r="M65" s="12">
        <v>30.701531560999999</v>
      </c>
      <c r="N65" s="12">
        <v>475.60983552944498</v>
      </c>
      <c r="O65" s="12" t="s">
        <v>333</v>
      </c>
      <c r="P65" s="12">
        <v>293</v>
      </c>
      <c r="Q65" s="12">
        <v>269</v>
      </c>
      <c r="S65" s="12">
        <v>59.8842709064483</v>
      </c>
      <c r="T65">
        <f t="shared" si="2"/>
        <v>-5.4284071922302033</v>
      </c>
    </row>
    <row r="66" spans="1:20" x14ac:dyDescent="0.2">
      <c r="A66" s="11" t="s">
        <v>535</v>
      </c>
      <c r="B66" s="12" t="s">
        <v>34</v>
      </c>
      <c r="C66" s="12" t="s">
        <v>106</v>
      </c>
      <c r="D66" s="12">
        <v>20</v>
      </c>
      <c r="E66" s="12">
        <v>4</v>
      </c>
      <c r="F66" s="12">
        <v>2</v>
      </c>
      <c r="G66" s="12">
        <v>5</v>
      </c>
      <c r="H66" s="12">
        <v>22.9426379203796</v>
      </c>
      <c r="I66" s="12">
        <v>5.5453283569999998</v>
      </c>
      <c r="J66" s="12">
        <v>17.397309563379601</v>
      </c>
      <c r="K66" s="12">
        <v>11.347576857</v>
      </c>
      <c r="L66" s="12">
        <v>3.1672240899999999</v>
      </c>
      <c r="M66" s="12">
        <v>7.0369475020000003</v>
      </c>
      <c r="N66" s="12">
        <v>463.94814584233302</v>
      </c>
      <c r="O66" s="12" t="s">
        <v>333</v>
      </c>
      <c r="P66" s="12">
        <v>23</v>
      </c>
      <c r="Q66" s="12">
        <v>25</v>
      </c>
      <c r="S66" s="12">
        <v>23.336593866348199</v>
      </c>
      <c r="T66">
        <f>S66-H66</f>
        <v>0.39395594596859951</v>
      </c>
    </row>
    <row r="67" spans="1:20" x14ac:dyDescent="0.2">
      <c r="A67" s="11" t="s">
        <v>539</v>
      </c>
      <c r="B67" s="12" t="s">
        <v>34</v>
      </c>
      <c r="C67" s="12" t="s">
        <v>474</v>
      </c>
      <c r="D67" s="12">
        <v>20</v>
      </c>
      <c r="E67" s="12">
        <v>7</v>
      </c>
      <c r="F67" s="12">
        <v>4</v>
      </c>
      <c r="G67" s="12">
        <v>4</v>
      </c>
      <c r="H67" s="12">
        <v>22.126590967178299</v>
      </c>
      <c r="I67" s="12">
        <v>5.5642505230000001</v>
      </c>
      <c r="J67" s="12">
        <v>16.5623404441783</v>
      </c>
      <c r="K67" s="12">
        <v>12.204126659</v>
      </c>
      <c r="L67" s="12">
        <v>2.8377948650000002</v>
      </c>
      <c r="M67" s="12">
        <v>5.6551209670000002</v>
      </c>
      <c r="N67" s="12">
        <v>459.040772484088</v>
      </c>
      <c r="O67" s="12" t="s">
        <v>333</v>
      </c>
      <c r="P67" s="12">
        <v>7</v>
      </c>
      <c r="Q67" s="12">
        <v>5</v>
      </c>
      <c r="S67" s="12">
        <v>22.809427976608202</v>
      </c>
      <c r="T67">
        <f t="shared" ref="T67:T131" si="3">S67-H67</f>
        <v>0.68283700942990322</v>
      </c>
    </row>
    <row r="68" spans="1:20" x14ac:dyDescent="0.2">
      <c r="A68" s="11" t="s">
        <v>543</v>
      </c>
      <c r="B68" s="12" t="s">
        <v>34</v>
      </c>
      <c r="C68" s="12" t="s">
        <v>475</v>
      </c>
      <c r="D68" s="12">
        <v>20</v>
      </c>
      <c r="E68" s="12">
        <v>9</v>
      </c>
      <c r="F68" s="12">
        <v>5</v>
      </c>
      <c r="G68" s="12">
        <v>4</v>
      </c>
      <c r="H68" s="12">
        <v>32.468091011047299</v>
      </c>
      <c r="I68" s="12">
        <v>5.5299547530000002</v>
      </c>
      <c r="J68" s="12">
        <v>26.938136258047301</v>
      </c>
      <c r="K68" s="12">
        <v>19.352372319000001</v>
      </c>
      <c r="L68" s="12">
        <v>2.8362825200000001</v>
      </c>
      <c r="M68" s="12">
        <v>8.858632729</v>
      </c>
      <c r="N68" s="12">
        <v>483.08735097801599</v>
      </c>
      <c r="O68" s="12" t="s">
        <v>333</v>
      </c>
      <c r="P68" s="12">
        <v>37</v>
      </c>
      <c r="Q68" s="12">
        <v>19</v>
      </c>
      <c r="S68" s="12">
        <v>31.841403961181602</v>
      </c>
      <c r="T68">
        <f t="shared" si="3"/>
        <v>-0.62668704986569779</v>
      </c>
    </row>
    <row r="69" spans="1:20" x14ac:dyDescent="0.2">
      <c r="A69" s="11" t="s">
        <v>547</v>
      </c>
      <c r="B69" s="12" t="s">
        <v>34</v>
      </c>
      <c r="C69" s="12" t="s">
        <v>107</v>
      </c>
      <c r="D69" s="12">
        <v>20</v>
      </c>
      <c r="E69" s="12">
        <v>4</v>
      </c>
      <c r="F69" s="12">
        <v>2</v>
      </c>
      <c r="G69" s="12">
        <v>5</v>
      </c>
      <c r="H69" s="12">
        <v>16.008067131042399</v>
      </c>
      <c r="I69" s="12">
        <v>5.5541187719999998</v>
      </c>
      <c r="J69" s="12">
        <v>10.4539483590424</v>
      </c>
      <c r="K69" s="12">
        <v>11.346251544999999</v>
      </c>
      <c r="L69" s="12">
        <v>3.4370435050000001</v>
      </c>
      <c r="M69" s="12">
        <v>0</v>
      </c>
      <c r="N69" s="12">
        <v>500.04344120821298</v>
      </c>
      <c r="O69" s="12" t="s">
        <v>333</v>
      </c>
      <c r="P69" s="12">
        <v>2</v>
      </c>
      <c r="Q69" s="12">
        <v>2</v>
      </c>
      <c r="S69" s="12">
        <v>16.0170671939849</v>
      </c>
      <c r="T69">
        <f t="shared" si="3"/>
        <v>9.0000629425013301E-3</v>
      </c>
    </row>
    <row r="70" spans="1:20" x14ac:dyDescent="0.2">
      <c r="A70" s="11" t="s">
        <v>551</v>
      </c>
      <c r="B70" s="12" t="s">
        <v>34</v>
      </c>
      <c r="C70" s="12" t="s">
        <v>476</v>
      </c>
      <c r="D70" s="12">
        <v>20</v>
      </c>
      <c r="E70" s="12">
        <v>7</v>
      </c>
      <c r="F70" s="12">
        <v>4</v>
      </c>
      <c r="G70" s="12">
        <v>4</v>
      </c>
      <c r="H70" s="12">
        <v>31.824321031570399</v>
      </c>
      <c r="I70" s="12">
        <v>5.5266764930000001</v>
      </c>
      <c r="J70" s="12">
        <v>26.297644538570399</v>
      </c>
      <c r="K70" s="12">
        <v>12.089422985000001</v>
      </c>
      <c r="L70" s="12">
        <v>2.8815365110000002</v>
      </c>
      <c r="M70" s="12">
        <v>15.446479367</v>
      </c>
      <c r="N70" s="12">
        <v>435.33354545894298</v>
      </c>
      <c r="O70" s="12" t="s">
        <v>333</v>
      </c>
      <c r="P70" s="12">
        <v>161</v>
      </c>
      <c r="Q70" s="12">
        <v>71</v>
      </c>
      <c r="S70" s="12">
        <v>26.500737905502302</v>
      </c>
      <c r="T70">
        <f t="shared" si="3"/>
        <v>-5.3235831260680975</v>
      </c>
    </row>
    <row r="71" spans="1:20" x14ac:dyDescent="0.2">
      <c r="A71" s="11" t="s">
        <v>555</v>
      </c>
      <c r="B71" s="12" t="s">
        <v>34</v>
      </c>
      <c r="C71" s="12" t="s">
        <v>477</v>
      </c>
      <c r="D71" s="12">
        <v>20</v>
      </c>
      <c r="E71" s="12">
        <v>9</v>
      </c>
      <c r="F71" s="12">
        <v>5</v>
      </c>
      <c r="G71" s="12">
        <v>4</v>
      </c>
      <c r="H71" s="12">
        <v>38.703534126281703</v>
      </c>
      <c r="I71" s="12">
        <v>5.5213952710000003</v>
      </c>
      <c r="J71" s="12">
        <v>33.1821388552817</v>
      </c>
      <c r="K71" s="12">
        <v>18.893536455</v>
      </c>
      <c r="L71" s="12">
        <v>3.0818953199999899</v>
      </c>
      <c r="M71" s="12">
        <v>15.306250714999999</v>
      </c>
      <c r="N71" s="12">
        <v>464.00435852120501</v>
      </c>
      <c r="O71" s="12" t="s">
        <v>333</v>
      </c>
      <c r="P71" s="12">
        <v>47</v>
      </c>
      <c r="Q71" s="12">
        <v>31</v>
      </c>
      <c r="S71" s="12">
        <v>33.356705904006901</v>
      </c>
      <c r="T71">
        <f t="shared" si="3"/>
        <v>-5.3468282222748016</v>
      </c>
    </row>
    <row r="72" spans="1:20" x14ac:dyDescent="0.2">
      <c r="A72" s="11" t="s">
        <v>559</v>
      </c>
      <c r="B72" s="12" t="s">
        <v>34</v>
      </c>
      <c r="C72" s="12" t="s">
        <v>108</v>
      </c>
      <c r="D72" s="12">
        <v>20</v>
      </c>
      <c r="E72" s="12">
        <v>4</v>
      </c>
      <c r="F72" s="12">
        <v>2</v>
      </c>
      <c r="G72" s="12">
        <v>5</v>
      </c>
      <c r="H72" s="12">
        <v>16.460970878601</v>
      </c>
      <c r="I72" s="12">
        <v>5.6322861340000001</v>
      </c>
      <c r="J72" s="12">
        <v>10.828684744601</v>
      </c>
      <c r="K72" s="12">
        <v>11.437658497999999</v>
      </c>
      <c r="L72" s="12">
        <v>3.7984221140000001</v>
      </c>
      <c r="M72" s="12">
        <v>0</v>
      </c>
      <c r="N72" s="12">
        <v>455.73795675228303</v>
      </c>
      <c r="O72" s="12" t="s">
        <v>333</v>
      </c>
      <c r="P72" s="12">
        <v>4</v>
      </c>
      <c r="Q72" s="12">
        <v>4</v>
      </c>
      <c r="S72" s="12">
        <v>16.406457901000898</v>
      </c>
      <c r="T72">
        <f t="shared" si="3"/>
        <v>-5.4512977600101209E-2</v>
      </c>
    </row>
    <row r="73" spans="1:20" x14ac:dyDescent="0.2">
      <c r="A73" s="11" t="s">
        <v>563</v>
      </c>
      <c r="B73" s="12" t="s">
        <v>34</v>
      </c>
      <c r="C73" s="12" t="s">
        <v>478</v>
      </c>
      <c r="D73" s="12">
        <v>20</v>
      </c>
      <c r="E73" s="12">
        <v>7</v>
      </c>
      <c r="F73" s="12">
        <v>4</v>
      </c>
      <c r="G73" s="12">
        <v>4</v>
      </c>
      <c r="H73" s="12">
        <v>24.065382003784102</v>
      </c>
      <c r="I73" s="12">
        <v>5.5354095819999998</v>
      </c>
      <c r="J73" s="12">
        <v>18.529972421784102</v>
      </c>
      <c r="K73" s="12">
        <v>12.071849399</v>
      </c>
      <c r="L73" s="12">
        <v>2.936792117</v>
      </c>
      <c r="M73" s="12">
        <v>7.6342319290000002</v>
      </c>
      <c r="N73" s="12">
        <v>434.48716188864398</v>
      </c>
      <c r="O73" s="12" t="s">
        <v>333</v>
      </c>
      <c r="P73" s="12">
        <v>29</v>
      </c>
      <c r="Q73" s="12">
        <v>23</v>
      </c>
      <c r="S73" s="12">
        <v>23.971539020538302</v>
      </c>
      <c r="T73">
        <f t="shared" si="3"/>
        <v>-9.3842983245799871E-2</v>
      </c>
    </row>
    <row r="74" spans="1:20" x14ac:dyDescent="0.2">
      <c r="A74" s="11" t="s">
        <v>567</v>
      </c>
      <c r="B74" s="12" t="s">
        <v>34</v>
      </c>
      <c r="C74" s="12" t="s">
        <v>479</v>
      </c>
      <c r="D74" s="12">
        <v>20</v>
      </c>
      <c r="E74" s="12">
        <v>9</v>
      </c>
      <c r="F74" s="12">
        <v>5</v>
      </c>
      <c r="G74" s="12">
        <v>4</v>
      </c>
      <c r="H74" s="12">
        <v>31.2115411758422</v>
      </c>
      <c r="I74" s="12">
        <v>5.5523716370000002</v>
      </c>
      <c r="J74" s="12">
        <v>25.6591695388422</v>
      </c>
      <c r="K74" s="12">
        <v>18.842350814</v>
      </c>
      <c r="L74" s="12">
        <v>3.2483318959999998</v>
      </c>
      <c r="M74" s="12">
        <v>7.6976703769999997</v>
      </c>
      <c r="N74" s="12">
        <v>484.23552174001998</v>
      </c>
      <c r="O74" s="12" t="s">
        <v>333</v>
      </c>
      <c r="P74" s="12">
        <v>17</v>
      </c>
      <c r="Q74" s="12">
        <v>13</v>
      </c>
      <c r="S74" s="12">
        <v>31.220534086227399</v>
      </c>
      <c r="T74">
        <f t="shared" si="3"/>
        <v>8.9929103851993375E-3</v>
      </c>
    </row>
    <row r="75" spans="1:20" x14ac:dyDescent="0.2">
      <c r="A75" s="11" t="s">
        <v>571</v>
      </c>
      <c r="B75" s="12" t="s">
        <v>34</v>
      </c>
      <c r="C75" s="12" t="s">
        <v>109</v>
      </c>
      <c r="D75" s="12">
        <v>20</v>
      </c>
      <c r="E75" s="12">
        <v>4</v>
      </c>
      <c r="F75" s="12">
        <v>2</v>
      </c>
      <c r="G75" s="12">
        <v>5</v>
      </c>
      <c r="H75" s="12">
        <v>21.835209131240799</v>
      </c>
      <c r="I75" s="12">
        <v>5.5255481049999897</v>
      </c>
      <c r="J75" s="12">
        <v>16.3096610262408</v>
      </c>
      <c r="K75" s="12">
        <v>11.310487004000001</v>
      </c>
      <c r="L75" s="12">
        <v>2.922902917</v>
      </c>
      <c r="M75" s="12">
        <v>6.2042472430000002</v>
      </c>
      <c r="N75" s="12">
        <v>481.22210814463699</v>
      </c>
      <c r="O75" s="12" t="s">
        <v>333</v>
      </c>
      <c r="P75" s="12">
        <v>7</v>
      </c>
      <c r="Q75" s="12">
        <v>11</v>
      </c>
      <c r="S75" s="12">
        <v>22.367901086807201</v>
      </c>
      <c r="T75">
        <f t="shared" si="3"/>
        <v>0.5326919555664027</v>
      </c>
    </row>
    <row r="76" spans="1:20" x14ac:dyDescent="0.2">
      <c r="A76" s="11" t="s">
        <v>575</v>
      </c>
      <c r="B76" s="12" t="s">
        <v>34</v>
      </c>
      <c r="C76" s="12" t="s">
        <v>480</v>
      </c>
      <c r="D76" s="12">
        <v>20</v>
      </c>
      <c r="E76" s="12">
        <v>7</v>
      </c>
      <c r="F76" s="12">
        <v>4</v>
      </c>
      <c r="G76" s="12">
        <v>4</v>
      </c>
      <c r="H76" s="12">
        <v>23.478132009506201</v>
      </c>
      <c r="I76" s="12">
        <v>5.5297969030000003</v>
      </c>
      <c r="J76" s="12">
        <v>17.9483351065062</v>
      </c>
      <c r="K76" s="12">
        <v>12.030134610999999</v>
      </c>
      <c r="L76" s="12">
        <v>3.1784397549999999</v>
      </c>
      <c r="M76" s="12">
        <v>6.8528361220000003</v>
      </c>
      <c r="N76" s="12">
        <v>361.40967278092</v>
      </c>
      <c r="O76" s="12" t="s">
        <v>333</v>
      </c>
      <c r="P76" s="12">
        <v>13</v>
      </c>
      <c r="Q76" s="12">
        <v>13</v>
      </c>
      <c r="S76" s="12">
        <v>23.854158878326398</v>
      </c>
      <c r="T76">
        <f t="shared" si="3"/>
        <v>0.37602686882019754</v>
      </c>
    </row>
    <row r="77" spans="1:20" x14ac:dyDescent="0.2">
      <c r="A77" s="11" t="s">
        <v>579</v>
      </c>
      <c r="B77" s="12" t="s">
        <v>34</v>
      </c>
      <c r="C77" s="12" t="s">
        <v>481</v>
      </c>
      <c r="D77" s="12">
        <v>20</v>
      </c>
      <c r="E77" s="12">
        <v>9</v>
      </c>
      <c r="F77" s="12">
        <v>5</v>
      </c>
      <c r="G77" s="12">
        <v>4</v>
      </c>
      <c r="H77" s="12">
        <v>42.762132167816098</v>
      </c>
      <c r="I77" s="12">
        <v>5.5373448630000004</v>
      </c>
      <c r="J77" s="12">
        <v>37.224787304816097</v>
      </c>
      <c r="K77" s="12">
        <v>18.849287870000001</v>
      </c>
      <c r="L77" s="12">
        <v>2.9238661429999899</v>
      </c>
      <c r="M77" s="12">
        <v>19.561055802999999</v>
      </c>
      <c r="N77" s="12">
        <v>423.48168962999699</v>
      </c>
      <c r="O77" s="12" t="s">
        <v>333</v>
      </c>
      <c r="P77" s="12">
        <v>169</v>
      </c>
      <c r="Q77" s="12">
        <v>75</v>
      </c>
      <c r="S77" s="12">
        <v>35.232650995254502</v>
      </c>
      <c r="T77">
        <f t="shared" si="3"/>
        <v>-7.5294811725615958</v>
      </c>
    </row>
    <row r="78" spans="1:20" x14ac:dyDescent="0.2">
      <c r="A78" s="11" t="s">
        <v>583</v>
      </c>
      <c r="B78" s="12" t="s">
        <v>34</v>
      </c>
      <c r="C78" s="12" t="s">
        <v>110</v>
      </c>
      <c r="D78" s="12">
        <v>20</v>
      </c>
      <c r="E78" s="12">
        <v>4</v>
      </c>
      <c r="F78" s="12">
        <v>2</v>
      </c>
      <c r="G78" s="12">
        <v>5</v>
      </c>
      <c r="H78" s="12">
        <v>23.9403090476989</v>
      </c>
      <c r="I78" s="12">
        <v>5.5211708310000001</v>
      </c>
      <c r="J78" s="12">
        <v>18.419138216698901</v>
      </c>
      <c r="K78" s="12">
        <v>11.273622071</v>
      </c>
      <c r="L78" s="12">
        <v>4.1185002390000003</v>
      </c>
      <c r="M78" s="12">
        <v>7.1532522529999998</v>
      </c>
      <c r="N78" s="12">
        <v>459.29421764403202</v>
      </c>
      <c r="O78" s="12" t="s">
        <v>333</v>
      </c>
      <c r="P78" s="12">
        <v>34</v>
      </c>
      <c r="Q78" s="12">
        <v>20</v>
      </c>
      <c r="S78" s="12">
        <v>23.387097120284999</v>
      </c>
      <c r="T78">
        <f t="shared" si="3"/>
        <v>-0.55321192741390135</v>
      </c>
    </row>
    <row r="79" spans="1:20" x14ac:dyDescent="0.2">
      <c r="A79" s="11" t="s">
        <v>587</v>
      </c>
      <c r="B79" s="12" t="s">
        <v>34</v>
      </c>
      <c r="C79" s="12" t="s">
        <v>482</v>
      </c>
      <c r="D79" s="12">
        <v>20</v>
      </c>
      <c r="E79" s="12">
        <v>7</v>
      </c>
      <c r="F79" s="12">
        <v>4</v>
      </c>
      <c r="G79" s="12">
        <v>4</v>
      </c>
      <c r="H79" s="12">
        <v>33.558711051940897</v>
      </c>
      <c r="I79" s="12">
        <v>5.5605594909999896</v>
      </c>
      <c r="J79" s="12">
        <v>27.998151560940901</v>
      </c>
      <c r="K79" s="12">
        <v>12.142246238</v>
      </c>
      <c r="L79" s="12">
        <v>3.0303276289999999</v>
      </c>
      <c r="M79" s="12">
        <v>16.972858149</v>
      </c>
      <c r="N79" s="12">
        <v>428.469214358307</v>
      </c>
      <c r="O79" s="12" t="s">
        <v>333</v>
      </c>
      <c r="P79" s="12">
        <v>117</v>
      </c>
      <c r="Q79" s="12">
        <v>27</v>
      </c>
      <c r="S79" s="12">
        <v>24.614345073699901</v>
      </c>
      <c r="T79">
        <f t="shared" si="3"/>
        <v>-8.9443659782409952</v>
      </c>
    </row>
    <row r="80" spans="1:20" x14ac:dyDescent="0.2">
      <c r="A80" s="11" t="s">
        <v>591</v>
      </c>
      <c r="B80" s="12" t="s">
        <v>34</v>
      </c>
      <c r="C80" s="12" t="s">
        <v>483</v>
      </c>
      <c r="D80" s="12">
        <v>20</v>
      </c>
      <c r="E80" s="12">
        <v>9</v>
      </c>
      <c r="F80" s="12">
        <v>5</v>
      </c>
      <c r="G80" s="12">
        <v>4</v>
      </c>
      <c r="H80" s="12">
        <v>29.866754055023101</v>
      </c>
      <c r="I80" s="12">
        <v>5.5484769709999897</v>
      </c>
      <c r="J80" s="12">
        <v>24.318277084023102</v>
      </c>
      <c r="K80" s="12">
        <v>18.95043544</v>
      </c>
      <c r="L80" s="12">
        <v>2.9484402140000001</v>
      </c>
      <c r="M80" s="12">
        <v>6.5019299640000003</v>
      </c>
      <c r="N80" s="12">
        <v>491.105994478215</v>
      </c>
      <c r="O80" s="12" t="s">
        <v>333</v>
      </c>
      <c r="P80" s="12">
        <v>9</v>
      </c>
      <c r="Q80" s="12">
        <v>29</v>
      </c>
      <c r="S80" s="12">
        <v>31.719506978988601</v>
      </c>
      <c r="T80">
        <f t="shared" si="3"/>
        <v>1.8527529239655003</v>
      </c>
    </row>
    <row r="81" spans="1:20" x14ac:dyDescent="0.2">
      <c r="A81" s="11" t="s">
        <v>595</v>
      </c>
      <c r="B81" s="12" t="s">
        <v>34</v>
      </c>
      <c r="C81" s="12" t="s">
        <v>111</v>
      </c>
      <c r="D81" s="12">
        <v>20</v>
      </c>
      <c r="E81" s="12">
        <v>4</v>
      </c>
      <c r="F81" s="12">
        <v>2</v>
      </c>
      <c r="G81" s="12">
        <v>4</v>
      </c>
      <c r="H81" s="12">
        <v>22.3517520427703</v>
      </c>
      <c r="I81" s="12">
        <v>5.5427763150000002</v>
      </c>
      <c r="J81" s="12">
        <v>16.808975727770299</v>
      </c>
      <c r="K81" s="12">
        <v>11.326815813</v>
      </c>
      <c r="L81" s="12">
        <v>2.8851201949999998</v>
      </c>
      <c r="M81" s="12">
        <v>6.7460810059999998</v>
      </c>
      <c r="N81" s="12">
        <v>455.54919134320699</v>
      </c>
      <c r="O81" s="12" t="s">
        <v>333</v>
      </c>
      <c r="P81" s="12">
        <v>17</v>
      </c>
      <c r="Q81" s="12">
        <v>25</v>
      </c>
      <c r="S81" s="12">
        <v>23.228845834731999</v>
      </c>
      <c r="T81">
        <f t="shared" si="3"/>
        <v>0.87709379196169834</v>
      </c>
    </row>
    <row r="82" spans="1:20" x14ac:dyDescent="0.2">
      <c r="A82" s="11" t="s">
        <v>599</v>
      </c>
      <c r="B82" s="12" t="s">
        <v>34</v>
      </c>
      <c r="C82" s="12" t="s">
        <v>484</v>
      </c>
      <c r="D82" s="12">
        <v>20</v>
      </c>
      <c r="E82" s="12">
        <v>7</v>
      </c>
      <c r="F82" s="12">
        <v>4</v>
      </c>
      <c r="G82" s="12">
        <v>4</v>
      </c>
      <c r="H82" s="12">
        <v>30.679225921630799</v>
      </c>
      <c r="I82" s="12">
        <v>5.5317521979999897</v>
      </c>
      <c r="J82" s="12">
        <v>25.147473723630799</v>
      </c>
      <c r="K82" s="12">
        <v>12.115489899</v>
      </c>
      <c r="L82" s="12">
        <v>8.9629587780000008</v>
      </c>
      <c r="M82" s="12">
        <v>8.1777457140000003</v>
      </c>
      <c r="N82" s="12">
        <v>470.80214300187998</v>
      </c>
      <c r="O82" s="12" t="s">
        <v>333</v>
      </c>
      <c r="P82" s="12">
        <v>94</v>
      </c>
      <c r="Q82" s="12">
        <v>82</v>
      </c>
      <c r="S82" s="12">
        <v>29.971879959106399</v>
      </c>
      <c r="T82">
        <f t="shared" si="3"/>
        <v>-0.70734596252439985</v>
      </c>
    </row>
    <row r="83" spans="1:20" x14ac:dyDescent="0.2">
      <c r="A83" s="11" t="s">
        <v>603</v>
      </c>
      <c r="B83" s="12" t="s">
        <v>34</v>
      </c>
      <c r="C83" s="12" t="s">
        <v>485</v>
      </c>
      <c r="D83" s="12">
        <v>20</v>
      </c>
      <c r="E83" s="12">
        <v>9</v>
      </c>
      <c r="F83" s="12">
        <v>5</v>
      </c>
      <c r="G83" s="12">
        <v>4</v>
      </c>
      <c r="H83" s="12">
        <v>29.678524017333899</v>
      </c>
      <c r="I83" s="12">
        <v>5.5396894049999998</v>
      </c>
      <c r="J83" s="12">
        <v>24.138834612333898</v>
      </c>
      <c r="K83" s="12">
        <v>18.929885108000001</v>
      </c>
      <c r="L83" s="12">
        <v>3.2651314999999999</v>
      </c>
      <c r="M83" s="12">
        <v>6.0573833920000002</v>
      </c>
      <c r="N83" s="12">
        <v>487.846030882957</v>
      </c>
      <c r="O83" s="12" t="s">
        <v>333</v>
      </c>
      <c r="P83" s="12">
        <v>5</v>
      </c>
      <c r="Q83" s="12">
        <v>5</v>
      </c>
      <c r="S83" s="12">
        <v>30.116279125213602</v>
      </c>
      <c r="T83">
        <f t="shared" si="3"/>
        <v>0.43775510787970262</v>
      </c>
    </row>
    <row r="84" spans="1:20" x14ac:dyDescent="0.2">
      <c r="A84" s="11" t="s">
        <v>607</v>
      </c>
      <c r="B84" s="12" t="s">
        <v>34</v>
      </c>
      <c r="C84" s="12" t="s">
        <v>112</v>
      </c>
      <c r="D84" s="12">
        <v>20</v>
      </c>
      <c r="E84" s="12">
        <v>4</v>
      </c>
      <c r="F84" s="12">
        <v>2</v>
      </c>
      <c r="G84" s="12">
        <v>5</v>
      </c>
      <c r="H84" s="12">
        <v>24.438781023025498</v>
      </c>
      <c r="I84" s="12">
        <v>5.5094515199999998</v>
      </c>
      <c r="J84" s="12">
        <v>18.9293295030255</v>
      </c>
      <c r="K84" s="12">
        <v>11.252610883999999</v>
      </c>
      <c r="L84" s="12">
        <v>4.1792591309999896</v>
      </c>
      <c r="M84" s="12">
        <v>7.6138139880000004</v>
      </c>
      <c r="N84" s="12">
        <v>476.71219644469801</v>
      </c>
      <c r="O84" s="12" t="s">
        <v>333</v>
      </c>
      <c r="P84" s="12">
        <v>39</v>
      </c>
      <c r="Q84" s="12">
        <v>25</v>
      </c>
      <c r="S84" s="12">
        <v>23.854444980621299</v>
      </c>
      <c r="T84">
        <f t="shared" si="3"/>
        <v>-0.58433604240419967</v>
      </c>
    </row>
    <row r="85" spans="1:20" x14ac:dyDescent="0.2">
      <c r="A85" s="11" t="s">
        <v>611</v>
      </c>
      <c r="B85" s="12" t="s">
        <v>34</v>
      </c>
      <c r="C85" s="12" t="s">
        <v>486</v>
      </c>
      <c r="D85" s="12">
        <v>20</v>
      </c>
      <c r="E85" s="12">
        <v>7</v>
      </c>
      <c r="F85" s="12">
        <v>4</v>
      </c>
      <c r="G85" s="12">
        <v>4</v>
      </c>
      <c r="H85" s="12">
        <v>23.953872203826901</v>
      </c>
      <c r="I85" s="12">
        <v>5.5412437729999997</v>
      </c>
      <c r="J85" s="12">
        <v>18.412628430826899</v>
      </c>
      <c r="K85" s="12">
        <v>12.137583772999999</v>
      </c>
      <c r="L85" s="12">
        <v>3.0524716319999898</v>
      </c>
      <c r="M85" s="12">
        <v>7.3369858380000004</v>
      </c>
      <c r="N85" s="12">
        <v>420.57271671025802</v>
      </c>
      <c r="O85" s="12" t="s">
        <v>333</v>
      </c>
      <c r="P85" s="12">
        <v>23</v>
      </c>
      <c r="Q85" s="12">
        <v>13</v>
      </c>
      <c r="S85" s="12">
        <v>23.546995878219601</v>
      </c>
      <c r="T85">
        <f t="shared" si="3"/>
        <v>-0.4068763256072998</v>
      </c>
    </row>
    <row r="86" spans="1:20" x14ac:dyDescent="0.2">
      <c r="A86" s="11" t="s">
        <v>615</v>
      </c>
      <c r="B86" s="12" t="s">
        <v>34</v>
      </c>
      <c r="C86" s="12" t="s">
        <v>487</v>
      </c>
      <c r="D86" s="12">
        <v>20</v>
      </c>
      <c r="E86" s="12">
        <v>9</v>
      </c>
      <c r="F86" s="12">
        <v>5</v>
      </c>
      <c r="G86" s="12">
        <v>4</v>
      </c>
      <c r="H86" s="12">
        <v>33.821557044982903</v>
      </c>
      <c r="I86" s="12">
        <v>5.5601281699999996</v>
      </c>
      <c r="J86" s="12">
        <v>28.261428874982901</v>
      </c>
      <c r="K86" s="12">
        <v>19.083953757</v>
      </c>
      <c r="L86" s="12">
        <v>3.0753400999999898</v>
      </c>
      <c r="M86" s="12">
        <v>10.235867881000001</v>
      </c>
      <c r="N86" s="12">
        <v>474.432794803467</v>
      </c>
      <c r="O86" s="12" t="s">
        <v>333</v>
      </c>
      <c r="P86" s="12">
        <v>53</v>
      </c>
      <c r="Q86" s="12">
        <v>27</v>
      </c>
      <c r="S86" s="12">
        <v>32.102858066558802</v>
      </c>
      <c r="T86">
        <f t="shared" si="3"/>
        <v>-1.7186989784241007</v>
      </c>
    </row>
    <row r="87" spans="1:20" x14ac:dyDescent="0.2">
      <c r="A87" s="11" t="s">
        <v>619</v>
      </c>
      <c r="B87" s="12" t="s">
        <v>34</v>
      </c>
      <c r="C87" s="12" t="s">
        <v>113</v>
      </c>
      <c r="D87" s="12">
        <v>20</v>
      </c>
      <c r="E87" s="12">
        <v>4</v>
      </c>
      <c r="F87" s="12">
        <v>2</v>
      </c>
      <c r="G87" s="12">
        <v>5</v>
      </c>
      <c r="H87" s="12">
        <v>23.417804002761802</v>
      </c>
      <c r="I87" s="12">
        <v>5.5439204240000004</v>
      </c>
      <c r="J87" s="12">
        <v>17.873883578761799</v>
      </c>
      <c r="K87" s="12">
        <v>11.33465921</v>
      </c>
      <c r="L87" s="12">
        <v>3.0396079459999998</v>
      </c>
      <c r="M87" s="12">
        <v>7.6344393330000004</v>
      </c>
      <c r="N87" s="12">
        <v>457.77353110464998</v>
      </c>
      <c r="O87" s="12" t="s">
        <v>333</v>
      </c>
      <c r="P87" s="12">
        <v>29</v>
      </c>
      <c r="Q87" s="12">
        <v>25</v>
      </c>
      <c r="S87" s="12">
        <v>23.125041007995598</v>
      </c>
      <c r="T87">
        <f t="shared" si="3"/>
        <v>-0.29276299476620338</v>
      </c>
    </row>
    <row r="88" spans="1:20" x14ac:dyDescent="0.2">
      <c r="A88" s="11" t="s">
        <v>623</v>
      </c>
      <c r="B88" s="12" t="s">
        <v>34</v>
      </c>
      <c r="C88" s="12" t="s">
        <v>488</v>
      </c>
      <c r="D88" s="12">
        <v>20</v>
      </c>
      <c r="E88" s="12">
        <v>7</v>
      </c>
      <c r="F88" s="12">
        <v>4</v>
      </c>
      <c r="G88" s="12">
        <v>4</v>
      </c>
      <c r="H88" s="12">
        <v>27.4448320865631</v>
      </c>
      <c r="I88" s="12">
        <v>5.5505382299999999</v>
      </c>
      <c r="J88" s="12">
        <v>21.894293856563099</v>
      </c>
      <c r="K88" s="12">
        <v>12.036619942</v>
      </c>
      <c r="L88" s="12">
        <v>3.469577846</v>
      </c>
      <c r="M88" s="12">
        <v>10.528521509000001</v>
      </c>
      <c r="N88" s="12">
        <v>405.405951962269</v>
      </c>
      <c r="O88" s="12" t="s">
        <v>333</v>
      </c>
      <c r="P88" s="12">
        <v>43</v>
      </c>
      <c r="Q88" s="12">
        <v>569</v>
      </c>
      <c r="S88" s="12">
        <v>84.146291017532306</v>
      </c>
      <c r="T88">
        <f t="shared" si="3"/>
        <v>56.70145893096921</v>
      </c>
    </row>
    <row r="89" spans="1:20" x14ac:dyDescent="0.2">
      <c r="A89" s="11" t="s">
        <v>627</v>
      </c>
      <c r="B89" s="12" t="s">
        <v>34</v>
      </c>
      <c r="C89" s="12" t="s">
        <v>489</v>
      </c>
      <c r="D89" s="12">
        <v>20</v>
      </c>
      <c r="E89" s="12">
        <v>9</v>
      </c>
      <c r="F89" s="12">
        <v>5</v>
      </c>
      <c r="G89" s="12">
        <v>4</v>
      </c>
      <c r="H89" s="12">
        <v>33.727954149246202</v>
      </c>
      <c r="I89" s="12">
        <v>5.5251804120000001</v>
      </c>
      <c r="J89" s="12">
        <v>28.202773737246201</v>
      </c>
      <c r="K89" s="12">
        <v>18.494982010000001</v>
      </c>
      <c r="L89" s="12">
        <v>3.3451399789999998</v>
      </c>
      <c r="M89" s="12">
        <v>10.461899094</v>
      </c>
      <c r="N89" s="12">
        <v>487.08366908287798</v>
      </c>
      <c r="O89" s="12" t="s">
        <v>333</v>
      </c>
      <c r="P89" s="12">
        <v>53</v>
      </c>
      <c r="Q89" s="12">
        <v>243</v>
      </c>
      <c r="S89" s="12">
        <v>50.464293956756499</v>
      </c>
      <c r="T89">
        <f t="shared" si="3"/>
        <v>16.736339807510298</v>
      </c>
    </row>
    <row r="90" spans="1:20" x14ac:dyDescent="0.2">
      <c r="A90" s="11" t="s">
        <v>631</v>
      </c>
      <c r="B90" s="12" t="s">
        <v>34</v>
      </c>
      <c r="C90" s="12" t="s">
        <v>114</v>
      </c>
      <c r="D90" s="12">
        <v>20</v>
      </c>
      <c r="E90" s="12">
        <v>4</v>
      </c>
      <c r="F90" s="12">
        <v>2</v>
      </c>
      <c r="G90" s="12">
        <v>4</v>
      </c>
      <c r="H90" s="12">
        <v>23.377400159835801</v>
      </c>
      <c r="I90" s="12">
        <v>5.5352258939999999</v>
      </c>
      <c r="J90" s="12">
        <v>17.842174265835801</v>
      </c>
      <c r="K90" s="12">
        <v>11.319401704000001</v>
      </c>
      <c r="L90" s="12">
        <v>4.1715435750000003</v>
      </c>
      <c r="M90" s="12">
        <v>6.4860296000000002</v>
      </c>
      <c r="N90" s="12">
        <v>466.07044779794597</v>
      </c>
      <c r="O90" s="12" t="s">
        <v>333</v>
      </c>
      <c r="P90" s="12">
        <v>18</v>
      </c>
      <c r="Q90" s="12">
        <v>16</v>
      </c>
      <c r="S90" s="12">
        <v>23.455865859985298</v>
      </c>
      <c r="T90">
        <f t="shared" si="3"/>
        <v>7.8465700149497053E-2</v>
      </c>
    </row>
    <row r="91" spans="1:20" x14ac:dyDescent="0.2">
      <c r="A91" s="11" t="s">
        <v>635</v>
      </c>
      <c r="B91" s="12" t="s">
        <v>34</v>
      </c>
      <c r="C91" s="12" t="s">
        <v>490</v>
      </c>
      <c r="D91" s="12">
        <v>20</v>
      </c>
      <c r="E91" s="12">
        <v>7</v>
      </c>
      <c r="F91" s="12">
        <v>4</v>
      </c>
      <c r="G91" s="12">
        <v>5</v>
      </c>
      <c r="H91" s="12">
        <v>17.5860259532928</v>
      </c>
      <c r="I91" s="12">
        <v>5.5330631779999999</v>
      </c>
      <c r="J91" s="12">
        <v>12.0529627752928</v>
      </c>
      <c r="K91" s="12">
        <v>12.146781968999999</v>
      </c>
      <c r="L91" s="12">
        <v>4.1890533159999999</v>
      </c>
      <c r="M91" s="12">
        <v>0</v>
      </c>
      <c r="N91" s="12">
        <v>408.263999956502</v>
      </c>
      <c r="O91" s="12" t="s">
        <v>333</v>
      </c>
      <c r="P91" s="12">
        <v>10</v>
      </c>
      <c r="Q91" s="12">
        <v>10</v>
      </c>
      <c r="S91" s="12">
        <v>17.6847050189971</v>
      </c>
      <c r="T91">
        <f t="shared" si="3"/>
        <v>9.8679065704299518E-2</v>
      </c>
    </row>
    <row r="92" spans="1:20" x14ac:dyDescent="0.2">
      <c r="A92" s="11" t="s">
        <v>639</v>
      </c>
      <c r="B92" s="12" t="s">
        <v>34</v>
      </c>
      <c r="C92" s="12" t="s">
        <v>491</v>
      </c>
      <c r="D92" s="12">
        <v>20</v>
      </c>
      <c r="E92" s="12">
        <v>9</v>
      </c>
      <c r="F92" s="12">
        <v>5</v>
      </c>
      <c r="G92" s="12">
        <v>4</v>
      </c>
      <c r="H92" s="12">
        <v>31.2746789455413</v>
      </c>
      <c r="I92" s="12">
        <v>5.5326933179999997</v>
      </c>
      <c r="J92" s="12">
        <v>25.7419856275413</v>
      </c>
      <c r="K92" s="12">
        <v>18.880975007</v>
      </c>
      <c r="L92" s="12">
        <v>3.013007837</v>
      </c>
      <c r="M92" s="12">
        <v>7.9513328430000003</v>
      </c>
      <c r="N92" s="12">
        <v>426.371430987449</v>
      </c>
      <c r="O92" s="12" t="s">
        <v>333</v>
      </c>
      <c r="P92" s="12">
        <v>27</v>
      </c>
      <c r="Q92" s="12">
        <v>15</v>
      </c>
      <c r="S92" s="12">
        <v>30.792516946792599</v>
      </c>
      <c r="T92">
        <f t="shared" si="3"/>
        <v>-0.48216199874870114</v>
      </c>
    </row>
    <row r="93" spans="1:20" x14ac:dyDescent="0.2">
      <c r="A93" s="11" t="s">
        <v>643</v>
      </c>
      <c r="B93" s="12" t="s">
        <v>34</v>
      </c>
      <c r="C93" s="12" t="s">
        <v>115</v>
      </c>
      <c r="D93" s="12">
        <v>20</v>
      </c>
      <c r="E93" s="12">
        <v>4</v>
      </c>
      <c r="F93" s="12">
        <v>2</v>
      </c>
      <c r="G93" s="12">
        <v>4</v>
      </c>
      <c r="H93" s="12">
        <v>39.527238130569401</v>
      </c>
      <c r="I93" s="12">
        <v>5.5361587249999999</v>
      </c>
      <c r="J93" s="12">
        <v>33.991079405569401</v>
      </c>
      <c r="K93" s="12">
        <v>11.322656283000001</v>
      </c>
      <c r="L93" s="12">
        <v>3.9635804779999999</v>
      </c>
      <c r="M93" s="12">
        <v>22.838868116</v>
      </c>
      <c r="N93" s="12">
        <v>431.48225634199798</v>
      </c>
      <c r="O93" s="12" t="s">
        <v>333</v>
      </c>
      <c r="P93" s="12">
        <v>121</v>
      </c>
      <c r="Q93" s="12">
        <v>67</v>
      </c>
      <c r="S93" s="12">
        <v>39.322208166122401</v>
      </c>
      <c r="T93">
        <f t="shared" si="3"/>
        <v>-0.20502996444700017</v>
      </c>
    </row>
    <row r="94" spans="1:20" x14ac:dyDescent="0.2">
      <c r="A94" s="11" t="s">
        <v>647</v>
      </c>
      <c r="B94" s="12" t="s">
        <v>34</v>
      </c>
      <c r="C94" s="12" t="s">
        <v>492</v>
      </c>
      <c r="D94" s="12">
        <v>20</v>
      </c>
      <c r="E94" s="12">
        <v>7</v>
      </c>
      <c r="F94" s="12">
        <v>4</v>
      </c>
      <c r="G94" s="12">
        <v>5</v>
      </c>
      <c r="H94" s="12">
        <v>28.441809892654401</v>
      </c>
      <c r="I94" s="12">
        <v>5.5449334849999996</v>
      </c>
      <c r="J94" s="12">
        <v>22.8968764076544</v>
      </c>
      <c r="K94" s="12">
        <v>12.179286192999999</v>
      </c>
      <c r="L94" s="12">
        <v>2.9920755620000001</v>
      </c>
      <c r="M94" s="12">
        <v>11.847170123</v>
      </c>
      <c r="N94" s="12">
        <v>443.97557694918203</v>
      </c>
      <c r="O94" s="12" t="s">
        <v>333</v>
      </c>
      <c r="P94" s="12">
        <v>59</v>
      </c>
      <c r="Q94" s="12">
        <v>29</v>
      </c>
      <c r="S94" s="12">
        <v>25.520334959030102</v>
      </c>
      <c r="T94">
        <f t="shared" si="3"/>
        <v>-2.9214749336242996</v>
      </c>
    </row>
    <row r="95" spans="1:20" x14ac:dyDescent="0.2">
      <c r="A95" s="11" t="s">
        <v>651</v>
      </c>
      <c r="B95" s="12" t="s">
        <v>34</v>
      </c>
      <c r="C95" s="12" t="s">
        <v>493</v>
      </c>
      <c r="D95" s="12">
        <v>20</v>
      </c>
      <c r="E95" s="12">
        <v>9</v>
      </c>
      <c r="F95" s="12">
        <v>5</v>
      </c>
      <c r="G95" s="12">
        <v>4</v>
      </c>
      <c r="H95" s="12">
        <v>37.060973167419398</v>
      </c>
      <c r="I95" s="12">
        <v>5.5452404929999997</v>
      </c>
      <c r="J95" s="12">
        <v>31.5157326744194</v>
      </c>
      <c r="K95" s="12">
        <v>18.855216702</v>
      </c>
      <c r="L95" s="12">
        <v>3.4151211520000002</v>
      </c>
      <c r="M95" s="12">
        <v>13.368070552000001</v>
      </c>
      <c r="N95" s="12">
        <v>453.18150621187698</v>
      </c>
      <c r="O95" s="12" t="s">
        <v>333</v>
      </c>
      <c r="P95" s="12">
        <v>71</v>
      </c>
      <c r="Q95" s="12">
        <v>11</v>
      </c>
      <c r="S95" s="12">
        <v>30.868589878082201</v>
      </c>
      <c r="T95">
        <f t="shared" si="3"/>
        <v>-6.1923832893371973</v>
      </c>
    </row>
    <row r="96" spans="1:20" x14ac:dyDescent="0.2">
      <c r="A96" s="11" t="s">
        <v>654</v>
      </c>
      <c r="B96" s="12" t="s">
        <v>34</v>
      </c>
      <c r="C96" s="12" t="s">
        <v>117</v>
      </c>
      <c r="D96" s="12">
        <v>20</v>
      </c>
      <c r="E96" s="12">
        <v>4</v>
      </c>
      <c r="F96" s="12">
        <v>2</v>
      </c>
      <c r="G96" s="12">
        <v>5</v>
      </c>
      <c r="H96" s="12">
        <v>38.545027017593299</v>
      </c>
      <c r="I96" s="12">
        <v>5.5305143499999998</v>
      </c>
      <c r="J96" s="12">
        <v>33.014512667593301</v>
      </c>
      <c r="K96" s="12">
        <v>11.301146126000001</v>
      </c>
      <c r="L96" s="12">
        <v>8.2905926040000004</v>
      </c>
      <c r="M96" s="12">
        <v>17.548595905999999</v>
      </c>
      <c r="N96" s="12">
        <v>448.43710808751598</v>
      </c>
      <c r="O96" s="12" t="s">
        <v>333</v>
      </c>
      <c r="P96" s="12">
        <v>84</v>
      </c>
      <c r="Q96" s="12">
        <v>118</v>
      </c>
      <c r="S96" s="12">
        <v>40.399251937866197</v>
      </c>
      <c r="T96">
        <f t="shared" si="3"/>
        <v>1.8542249202728982</v>
      </c>
    </row>
    <row r="97" spans="1:20" x14ac:dyDescent="0.2">
      <c r="A97" s="11" t="s">
        <v>658</v>
      </c>
      <c r="B97" s="12" t="s">
        <v>34</v>
      </c>
      <c r="C97" s="12" t="s">
        <v>494</v>
      </c>
      <c r="D97" s="12">
        <v>20</v>
      </c>
      <c r="E97" s="12">
        <v>7</v>
      </c>
      <c r="F97" s="12">
        <v>4</v>
      </c>
      <c r="G97" s="12">
        <v>4</v>
      </c>
      <c r="H97" s="12">
        <v>30.177268981933501</v>
      </c>
      <c r="I97" s="12">
        <v>5.5447243650000004</v>
      </c>
      <c r="J97" s="12">
        <v>24.632544616933501</v>
      </c>
      <c r="K97" s="12">
        <v>12.114362082</v>
      </c>
      <c r="L97" s="12">
        <v>3.7244740260000002</v>
      </c>
      <c r="M97" s="12">
        <v>12.914256328</v>
      </c>
      <c r="N97" s="12">
        <v>429.03316245369803</v>
      </c>
      <c r="O97" s="12" t="s">
        <v>333</v>
      </c>
      <c r="P97" s="12">
        <v>55</v>
      </c>
      <c r="Q97" s="12">
        <v>27</v>
      </c>
      <c r="S97" s="12">
        <v>26.7239170074462</v>
      </c>
      <c r="T97">
        <f t="shared" si="3"/>
        <v>-3.4533519744873011</v>
      </c>
    </row>
    <row r="98" spans="1:20" x14ac:dyDescent="0.2">
      <c r="A98" s="11" t="s">
        <v>662</v>
      </c>
      <c r="B98" s="12" t="s">
        <v>34</v>
      </c>
      <c r="C98" s="12" t="s">
        <v>495</v>
      </c>
      <c r="D98" s="12">
        <v>20</v>
      </c>
      <c r="E98" s="12">
        <v>9</v>
      </c>
      <c r="F98" s="12">
        <v>5</v>
      </c>
      <c r="G98" s="12">
        <v>4</v>
      </c>
      <c r="H98" s="12">
        <v>31.2338960170745</v>
      </c>
      <c r="I98" s="12">
        <v>5.5317280789999996</v>
      </c>
      <c r="J98" s="12">
        <v>25.702167938074499</v>
      </c>
      <c r="K98" s="12">
        <v>19.158556069999999</v>
      </c>
      <c r="L98" s="12">
        <v>3.2765804620000001</v>
      </c>
      <c r="M98" s="12">
        <v>7.3761131879999997</v>
      </c>
      <c r="N98" s="12">
        <v>461.18597261367597</v>
      </c>
      <c r="O98" s="12" t="s">
        <v>333</v>
      </c>
      <c r="P98" s="12">
        <v>13</v>
      </c>
      <c r="Q98" s="12">
        <v>9</v>
      </c>
      <c r="S98" s="12">
        <v>30.927198171615601</v>
      </c>
      <c r="T98">
        <f t="shared" si="3"/>
        <v>-0.30669784545889911</v>
      </c>
    </row>
    <row r="99" spans="1:20" x14ac:dyDescent="0.2">
      <c r="A99" s="11" t="s">
        <v>666</v>
      </c>
      <c r="B99" s="12" t="s">
        <v>34</v>
      </c>
      <c r="C99" s="12" t="s">
        <v>118</v>
      </c>
      <c r="D99" s="12">
        <v>20</v>
      </c>
      <c r="E99" s="12">
        <v>4</v>
      </c>
      <c r="F99" s="12">
        <v>2</v>
      </c>
      <c r="G99" s="12">
        <v>5</v>
      </c>
      <c r="H99" s="12">
        <v>23.156000137329102</v>
      </c>
      <c r="I99" s="12">
        <v>5.5151080199999898</v>
      </c>
      <c r="J99" s="12">
        <v>17.640892117329098</v>
      </c>
      <c r="K99" s="12">
        <v>11.260753880999999</v>
      </c>
      <c r="L99" s="12">
        <v>4.6208509839999996</v>
      </c>
      <c r="M99" s="12">
        <v>5.8854105670000001</v>
      </c>
      <c r="N99" s="12">
        <v>456.76236795462597</v>
      </c>
      <c r="O99" s="12" t="s">
        <v>333</v>
      </c>
      <c r="P99" s="12">
        <v>10</v>
      </c>
      <c r="Q99" s="12">
        <v>8</v>
      </c>
      <c r="S99" s="12">
        <v>23.156510829925502</v>
      </c>
      <c r="T99">
        <f t="shared" si="3"/>
        <v>5.1069259640001974E-4</v>
      </c>
    </row>
    <row r="100" spans="1:20" x14ac:dyDescent="0.2">
      <c r="A100" s="11" t="s">
        <v>670</v>
      </c>
      <c r="B100" s="12" t="s">
        <v>34</v>
      </c>
      <c r="C100" s="12" t="s">
        <v>496</v>
      </c>
      <c r="D100" s="12">
        <v>20</v>
      </c>
      <c r="E100" s="12">
        <v>7</v>
      </c>
      <c r="F100" s="12">
        <v>4</v>
      </c>
      <c r="G100" s="12">
        <v>4</v>
      </c>
      <c r="H100" s="12">
        <v>25.364754915237398</v>
      </c>
      <c r="I100" s="12">
        <v>5.5487525269999898</v>
      </c>
      <c r="J100" s="12">
        <v>19.816002388237401</v>
      </c>
      <c r="K100" s="12">
        <v>12.098549525999999</v>
      </c>
      <c r="L100" s="12">
        <v>3.0122816809999899</v>
      </c>
      <c r="M100" s="12">
        <v>8.8319343850000003</v>
      </c>
      <c r="N100" s="12">
        <v>437.82463147135599</v>
      </c>
      <c r="O100" s="12" t="s">
        <v>333</v>
      </c>
      <c r="P100" s="12">
        <v>39</v>
      </c>
      <c r="Q100" s="12">
        <v>149</v>
      </c>
      <c r="S100" s="12">
        <v>34.078666925430298</v>
      </c>
      <c r="T100">
        <f t="shared" si="3"/>
        <v>8.7139120101928995</v>
      </c>
    </row>
    <row r="101" spans="1:20" x14ac:dyDescent="0.2">
      <c r="A101" s="11" t="s">
        <v>674</v>
      </c>
      <c r="B101" s="12" t="s">
        <v>34</v>
      </c>
      <c r="C101" s="12" t="s">
        <v>497</v>
      </c>
      <c r="D101" s="12">
        <v>20</v>
      </c>
      <c r="E101" s="12">
        <v>9</v>
      </c>
      <c r="F101" s="12">
        <v>5</v>
      </c>
      <c r="G101" s="12">
        <v>4</v>
      </c>
      <c r="H101" s="12">
        <v>44.619688034057603</v>
      </c>
      <c r="I101" s="12">
        <v>5.5442713790000004</v>
      </c>
      <c r="J101" s="12">
        <v>39.075416655057602</v>
      </c>
      <c r="K101" s="12">
        <v>19.159552543</v>
      </c>
      <c r="L101" s="12">
        <v>4.4749636639999997</v>
      </c>
      <c r="M101" s="12">
        <v>19.552474019000002</v>
      </c>
      <c r="N101" s="12">
        <v>464.440180880855</v>
      </c>
      <c r="O101" s="12" t="s">
        <v>333</v>
      </c>
      <c r="P101" s="12">
        <v>67</v>
      </c>
      <c r="Q101" s="12">
        <v>77</v>
      </c>
      <c r="S101" s="12">
        <v>42.4921100139617</v>
      </c>
      <c r="T101">
        <f t="shared" si="3"/>
        <v>-2.1275780200959034</v>
      </c>
    </row>
    <row r="102" spans="1:20" x14ac:dyDescent="0.2">
      <c r="A102" s="11" t="s">
        <v>678</v>
      </c>
      <c r="B102" s="12" t="s">
        <v>34</v>
      </c>
      <c r="C102" s="12" t="s">
        <v>119</v>
      </c>
      <c r="D102" s="12">
        <v>20</v>
      </c>
      <c r="E102" s="12">
        <v>4</v>
      </c>
      <c r="F102" s="12">
        <v>2</v>
      </c>
      <c r="G102" s="12">
        <v>5</v>
      </c>
      <c r="H102" s="12">
        <v>23.101084947585999</v>
      </c>
      <c r="I102" s="12">
        <v>5.5419899179999996</v>
      </c>
      <c r="J102" s="12">
        <v>17.559095029586</v>
      </c>
      <c r="K102" s="12">
        <v>11.328527360000001</v>
      </c>
      <c r="L102" s="12">
        <v>2.881177933</v>
      </c>
      <c r="M102" s="12">
        <v>7.4842423030000003</v>
      </c>
      <c r="N102" s="12">
        <v>455.48315442211401</v>
      </c>
      <c r="O102" s="12" t="s">
        <v>333</v>
      </c>
      <c r="P102" s="12">
        <v>25</v>
      </c>
      <c r="Q102" s="12">
        <v>49</v>
      </c>
      <c r="S102" s="12">
        <v>24.624055862426701</v>
      </c>
      <c r="T102">
        <f t="shared" si="3"/>
        <v>1.5229709148407018</v>
      </c>
    </row>
    <row r="103" spans="1:20" x14ac:dyDescent="0.2">
      <c r="A103" s="11" t="s">
        <v>681</v>
      </c>
      <c r="B103" s="12" t="s">
        <v>34</v>
      </c>
      <c r="C103" s="12" t="s">
        <v>498</v>
      </c>
      <c r="D103" s="12">
        <v>20</v>
      </c>
      <c r="E103" s="12">
        <v>7</v>
      </c>
      <c r="F103" s="12">
        <v>4</v>
      </c>
      <c r="G103" s="12">
        <v>4</v>
      </c>
      <c r="H103" s="12">
        <v>30.6983108520507</v>
      </c>
      <c r="I103" s="12">
        <v>5.525339174</v>
      </c>
      <c r="J103" s="12">
        <v>25.1729716780507</v>
      </c>
      <c r="K103" s="12">
        <v>12.02885699</v>
      </c>
      <c r="L103" s="12">
        <v>3.1615218459999999</v>
      </c>
      <c r="M103" s="12">
        <v>14.080192623</v>
      </c>
      <c r="N103" s="12">
        <v>424.28145867785599</v>
      </c>
      <c r="O103" s="12" t="s">
        <v>333</v>
      </c>
      <c r="P103" s="12">
        <v>71</v>
      </c>
      <c r="Q103" s="12">
        <v>59</v>
      </c>
      <c r="S103" s="12">
        <v>29.1380050182342</v>
      </c>
      <c r="T103">
        <f t="shared" si="3"/>
        <v>-1.5603058338164999</v>
      </c>
    </row>
    <row r="104" spans="1:20" x14ac:dyDescent="0.2">
      <c r="A104" s="11" t="s">
        <v>685</v>
      </c>
      <c r="B104" s="12" t="s">
        <v>34</v>
      </c>
      <c r="C104" s="12" t="s">
        <v>499</v>
      </c>
      <c r="D104" s="12">
        <v>20</v>
      </c>
      <c r="E104" s="12">
        <v>9</v>
      </c>
      <c r="F104" s="12">
        <v>5</v>
      </c>
      <c r="G104" s="12">
        <v>4</v>
      </c>
      <c r="H104" s="12">
        <v>35.978007078170698</v>
      </c>
      <c r="I104" s="12">
        <v>5.5422319029999896</v>
      </c>
      <c r="J104" s="12">
        <v>30.435775175170701</v>
      </c>
      <c r="K104" s="12">
        <v>18.616074416</v>
      </c>
      <c r="L104" s="12">
        <v>6.5149772439999998</v>
      </c>
      <c r="M104" s="12">
        <v>9.4196327029999996</v>
      </c>
      <c r="N104" s="12">
        <v>465.87526447958601</v>
      </c>
      <c r="O104" s="12" t="s">
        <v>333</v>
      </c>
      <c r="P104" s="12">
        <v>21</v>
      </c>
      <c r="Q104" s="12">
        <v>261</v>
      </c>
      <c r="S104" s="12">
        <v>70.899284124374304</v>
      </c>
      <c r="T104">
        <f t="shared" si="3"/>
        <v>34.921277046203606</v>
      </c>
    </row>
    <row r="105" spans="1:20" x14ac:dyDescent="0.2">
      <c r="A105" s="11" t="s">
        <v>689</v>
      </c>
      <c r="B105" s="12" t="s">
        <v>34</v>
      </c>
      <c r="C105" s="12" t="s">
        <v>120</v>
      </c>
      <c r="D105" s="12">
        <v>20</v>
      </c>
      <c r="E105" s="12">
        <v>4</v>
      </c>
      <c r="F105" s="12">
        <v>2</v>
      </c>
      <c r="G105" s="12">
        <v>5</v>
      </c>
      <c r="H105" s="12">
        <v>24.200379133224398</v>
      </c>
      <c r="I105" s="12">
        <v>5.5421391819999997</v>
      </c>
      <c r="J105" s="12">
        <v>18.658239951224399</v>
      </c>
      <c r="K105" s="12">
        <v>11.34018317</v>
      </c>
      <c r="L105" s="12">
        <v>4.0376314039999999</v>
      </c>
      <c r="M105" s="12">
        <v>7.4268959680000002</v>
      </c>
      <c r="N105" s="12">
        <v>464.87082707745998</v>
      </c>
      <c r="O105" s="12" t="s">
        <v>333</v>
      </c>
      <c r="P105" s="12">
        <v>13</v>
      </c>
      <c r="Q105" s="12">
        <v>113</v>
      </c>
      <c r="S105" s="12">
        <v>35.091190099716101</v>
      </c>
      <c r="T105">
        <f t="shared" si="3"/>
        <v>10.890810966491703</v>
      </c>
    </row>
    <row r="106" spans="1:20" x14ac:dyDescent="0.2">
      <c r="A106" s="11" t="s">
        <v>693</v>
      </c>
      <c r="B106" s="12" t="s">
        <v>34</v>
      </c>
      <c r="C106" s="12" t="s">
        <v>500</v>
      </c>
      <c r="D106" s="12">
        <v>20</v>
      </c>
      <c r="E106" s="12">
        <v>7</v>
      </c>
      <c r="F106" s="12">
        <v>4</v>
      </c>
      <c r="G106" s="12">
        <v>4</v>
      </c>
      <c r="H106" s="12">
        <v>31.018251895904498</v>
      </c>
      <c r="I106" s="12">
        <v>5.5106253819999997</v>
      </c>
      <c r="J106" s="12">
        <v>25.507626513904501</v>
      </c>
      <c r="K106" s="12">
        <v>12.029689166000001</v>
      </c>
      <c r="L106" s="12">
        <v>3.4457368740000001</v>
      </c>
      <c r="M106" s="12">
        <v>14.127832268000001</v>
      </c>
      <c r="N106" s="12">
        <v>375.396617921884</v>
      </c>
      <c r="O106" s="12" t="s">
        <v>333</v>
      </c>
      <c r="P106" s="12">
        <v>57</v>
      </c>
      <c r="Q106" s="12">
        <v>95</v>
      </c>
      <c r="S106" s="12">
        <v>35.398409128189002</v>
      </c>
      <c r="T106">
        <f t="shared" si="3"/>
        <v>4.3801572322845033</v>
      </c>
    </row>
    <row r="107" spans="1:20" x14ac:dyDescent="0.2">
      <c r="A107" s="11" t="s">
        <v>697</v>
      </c>
      <c r="B107" s="12" t="s">
        <v>34</v>
      </c>
      <c r="C107" s="12" t="s">
        <v>501</v>
      </c>
      <c r="D107" s="12">
        <v>20</v>
      </c>
      <c r="E107" s="12">
        <v>9</v>
      </c>
      <c r="F107" s="12">
        <v>5</v>
      </c>
      <c r="G107" s="12">
        <v>4</v>
      </c>
      <c r="H107" s="12">
        <v>30.622416019439601</v>
      </c>
      <c r="I107" s="12">
        <v>5.552803795</v>
      </c>
      <c r="J107" s="12">
        <v>25.069612224439599</v>
      </c>
      <c r="K107" s="12">
        <v>18.862946340000001</v>
      </c>
      <c r="L107" s="12">
        <v>10.499047257999999</v>
      </c>
      <c r="M107" s="12">
        <v>0</v>
      </c>
      <c r="N107" s="12">
        <v>391.92383365874599</v>
      </c>
      <c r="O107" s="12" t="s">
        <v>333</v>
      </c>
      <c r="P107" s="12">
        <v>14</v>
      </c>
      <c r="Q107" s="12">
        <v>14</v>
      </c>
      <c r="S107" s="12">
        <v>30.697404861450099</v>
      </c>
      <c r="T107">
        <f t="shared" si="3"/>
        <v>7.4988842010498047E-2</v>
      </c>
    </row>
    <row r="108" spans="1:20" x14ac:dyDescent="0.2">
      <c r="A108" s="11" t="s">
        <v>701</v>
      </c>
      <c r="B108" s="12" t="s">
        <v>34</v>
      </c>
      <c r="C108" s="12" t="s">
        <v>121</v>
      </c>
      <c r="D108" s="12">
        <v>20</v>
      </c>
      <c r="E108" s="12">
        <v>4</v>
      </c>
      <c r="F108" s="12">
        <v>2</v>
      </c>
      <c r="G108" s="12">
        <v>4</v>
      </c>
      <c r="H108" s="12">
        <v>22.315973043441701</v>
      </c>
      <c r="I108" s="12">
        <v>5.5392380140000004</v>
      </c>
      <c r="J108" s="12">
        <v>16.776735029441699</v>
      </c>
      <c r="K108" s="12">
        <v>11.303083177</v>
      </c>
      <c r="L108" s="12">
        <v>3.2288618570000001</v>
      </c>
      <c r="M108" s="12">
        <v>6.3832467370000003</v>
      </c>
      <c r="N108" s="12">
        <v>437.12086378236398</v>
      </c>
      <c r="O108" s="12" t="s">
        <v>333</v>
      </c>
      <c r="P108" s="12">
        <v>7</v>
      </c>
      <c r="Q108" s="12">
        <v>23</v>
      </c>
      <c r="S108" s="12">
        <v>24.0691831111907</v>
      </c>
      <c r="T108">
        <f t="shared" si="3"/>
        <v>1.7532100677489986</v>
      </c>
    </row>
    <row r="109" spans="1:20" x14ac:dyDescent="0.2">
      <c r="A109" s="11" t="s">
        <v>705</v>
      </c>
      <c r="B109" s="12" t="s">
        <v>34</v>
      </c>
      <c r="C109" s="12" t="s">
        <v>502</v>
      </c>
      <c r="D109" s="12">
        <v>20</v>
      </c>
      <c r="E109" s="12">
        <v>7</v>
      </c>
      <c r="F109" s="12">
        <v>4</v>
      </c>
      <c r="G109" s="12">
        <v>5</v>
      </c>
      <c r="H109" s="12">
        <v>21.896674871444699</v>
      </c>
      <c r="I109" s="12">
        <v>5.5128740780000003</v>
      </c>
      <c r="J109" s="12">
        <v>16.383800793444699</v>
      </c>
      <c r="K109" s="12">
        <v>12.125361464999999</v>
      </c>
      <c r="L109" s="12">
        <v>2.8154312020000001</v>
      </c>
      <c r="M109" s="12">
        <v>5.5379626330000002</v>
      </c>
      <c r="N109" s="12">
        <v>453.537209794131</v>
      </c>
      <c r="O109" s="12" t="s">
        <v>333</v>
      </c>
      <c r="P109" s="12">
        <v>5</v>
      </c>
      <c r="Q109" s="12">
        <v>5</v>
      </c>
      <c r="S109" s="12">
        <v>22.914510965347201</v>
      </c>
      <c r="T109">
        <f t="shared" si="3"/>
        <v>1.0178360939025026</v>
      </c>
    </row>
    <row r="110" spans="1:20" x14ac:dyDescent="0.2">
      <c r="A110" s="11" t="s">
        <v>709</v>
      </c>
      <c r="B110" s="12" t="s">
        <v>34</v>
      </c>
      <c r="C110" s="12" t="s">
        <v>503</v>
      </c>
      <c r="D110" s="12">
        <v>20</v>
      </c>
      <c r="E110" s="12">
        <v>9</v>
      </c>
      <c r="F110" s="12">
        <v>5</v>
      </c>
      <c r="G110" s="12">
        <v>4</v>
      </c>
      <c r="H110" s="12">
        <v>30.912209033966001</v>
      </c>
      <c r="I110" s="12">
        <v>5.5258372629999997</v>
      </c>
      <c r="J110" s="12">
        <v>25.386371770966001</v>
      </c>
      <c r="K110" s="12">
        <v>18.970442804000001</v>
      </c>
      <c r="L110" s="12">
        <v>3.89124099</v>
      </c>
      <c r="M110" s="12">
        <v>6.6290440750000004</v>
      </c>
      <c r="N110" s="12">
        <v>488.60736872941902</v>
      </c>
      <c r="O110" s="12" t="s">
        <v>333</v>
      </c>
      <c r="P110" s="12">
        <v>24</v>
      </c>
      <c r="Q110" s="12">
        <v>94</v>
      </c>
      <c r="S110" s="12">
        <v>35.115771055221501</v>
      </c>
      <c r="T110">
        <f t="shared" si="3"/>
        <v>4.2035620212555003</v>
      </c>
    </row>
    <row r="111" spans="1:20" x14ac:dyDescent="0.2">
      <c r="A111" s="11" t="s">
        <v>713</v>
      </c>
      <c r="B111" s="12" t="s">
        <v>34</v>
      </c>
      <c r="C111" s="12" t="s">
        <v>122</v>
      </c>
      <c r="D111" s="12">
        <v>20</v>
      </c>
      <c r="E111" s="12">
        <v>4</v>
      </c>
      <c r="F111" s="12">
        <v>2</v>
      </c>
      <c r="G111" s="12">
        <v>5</v>
      </c>
      <c r="H111" s="12">
        <v>22.600389003753602</v>
      </c>
      <c r="I111" s="12">
        <v>5.5291600560000003</v>
      </c>
      <c r="J111" s="12">
        <v>17.0712289477536</v>
      </c>
      <c r="K111" s="12">
        <v>11.316617938</v>
      </c>
      <c r="L111" s="12">
        <v>2.944548604</v>
      </c>
      <c r="M111" s="12">
        <v>6.9431129819999997</v>
      </c>
      <c r="N111" s="12">
        <v>462.50242958947001</v>
      </c>
      <c r="O111" s="12" t="s">
        <v>333</v>
      </c>
      <c r="P111" s="12">
        <v>19</v>
      </c>
      <c r="Q111" s="12">
        <v>15</v>
      </c>
      <c r="S111" s="12">
        <v>22.572346925735399</v>
      </c>
      <c r="T111">
        <f t="shared" si="3"/>
        <v>-2.8042078018202687E-2</v>
      </c>
    </row>
    <row r="112" spans="1:20" x14ac:dyDescent="0.2">
      <c r="A112" s="11" t="s">
        <v>717</v>
      </c>
      <c r="B112" s="12" t="s">
        <v>34</v>
      </c>
      <c r="C112" s="12" t="s">
        <v>504</v>
      </c>
      <c r="D112" s="12">
        <v>20</v>
      </c>
      <c r="E112" s="12">
        <v>7</v>
      </c>
      <c r="F112" s="12">
        <v>4</v>
      </c>
      <c r="G112" s="12">
        <v>4</v>
      </c>
      <c r="H112" s="12">
        <v>26.137262105941701</v>
      </c>
      <c r="I112" s="12">
        <v>5.5462281170000001</v>
      </c>
      <c r="J112" s="12">
        <v>20.5910339889417</v>
      </c>
      <c r="K112" s="12">
        <v>12.20816479</v>
      </c>
      <c r="L112" s="12">
        <v>2.956385944</v>
      </c>
      <c r="M112" s="12">
        <v>9.5510437239999995</v>
      </c>
      <c r="N112" s="12">
        <v>465.25275842649199</v>
      </c>
      <c r="O112" s="12" t="s">
        <v>333</v>
      </c>
      <c r="P112" s="12">
        <v>35</v>
      </c>
      <c r="Q112" s="12">
        <v>7</v>
      </c>
      <c r="S112" s="12">
        <v>23.430510997772199</v>
      </c>
      <c r="T112">
        <f t="shared" si="3"/>
        <v>-2.7067511081695024</v>
      </c>
    </row>
    <row r="113" spans="1:20" x14ac:dyDescent="0.2">
      <c r="A113" s="11" t="s">
        <v>721</v>
      </c>
      <c r="B113" s="12" t="s">
        <v>34</v>
      </c>
      <c r="C113" s="12" t="s">
        <v>505</v>
      </c>
      <c r="D113" s="12">
        <v>20</v>
      </c>
      <c r="E113" s="12">
        <v>9</v>
      </c>
      <c r="F113" s="12">
        <v>5</v>
      </c>
      <c r="G113" s="12">
        <v>4</v>
      </c>
      <c r="H113" s="12">
        <v>31.2031378746032</v>
      </c>
      <c r="I113" s="12">
        <v>5.5240931889999896</v>
      </c>
      <c r="J113" s="12">
        <v>25.679044685603198</v>
      </c>
      <c r="K113" s="12">
        <v>19.237936870999999</v>
      </c>
      <c r="L113" s="12">
        <v>2.8731530949999899</v>
      </c>
      <c r="M113" s="12">
        <v>7.6643660809999998</v>
      </c>
      <c r="N113" s="12">
        <v>487.74017876631802</v>
      </c>
      <c r="O113" s="12" t="s">
        <v>333</v>
      </c>
      <c r="P113" s="12">
        <v>23</v>
      </c>
      <c r="Q113" s="12">
        <v>11</v>
      </c>
      <c r="S113" s="12">
        <v>30.548254013061499</v>
      </c>
      <c r="T113">
        <f t="shared" si="3"/>
        <v>-0.65488386154170186</v>
      </c>
    </row>
    <row r="114" spans="1:20" x14ac:dyDescent="0.2">
      <c r="A114" s="11" t="s">
        <v>725</v>
      </c>
      <c r="B114" s="12" t="s">
        <v>34</v>
      </c>
      <c r="C114" s="12" t="s">
        <v>123</v>
      </c>
      <c r="D114" s="12">
        <v>20</v>
      </c>
      <c r="E114" s="12">
        <v>4</v>
      </c>
      <c r="F114" s="12">
        <v>2</v>
      </c>
      <c r="G114" s="12">
        <v>5</v>
      </c>
      <c r="H114" s="12">
        <v>22.8212649822235</v>
      </c>
      <c r="I114" s="12">
        <v>5.5482861359999998</v>
      </c>
      <c r="J114" s="12">
        <v>17.272978846223499</v>
      </c>
      <c r="K114" s="12">
        <v>11.334059574999999</v>
      </c>
      <c r="L114" s="12">
        <v>2.8951442620000001</v>
      </c>
      <c r="M114" s="12">
        <v>7.2011304819999999</v>
      </c>
      <c r="N114" s="12">
        <v>477.56688756313099</v>
      </c>
      <c r="O114" s="12" t="s">
        <v>333</v>
      </c>
      <c r="P114" s="12">
        <v>25</v>
      </c>
      <c r="Q114" s="12">
        <v>17</v>
      </c>
      <c r="S114" s="12">
        <v>22.792676925659102</v>
      </c>
      <c r="T114">
        <f t="shared" si="3"/>
        <v>-2.8588056564398556E-2</v>
      </c>
    </row>
    <row r="115" spans="1:20" x14ac:dyDescent="0.2">
      <c r="A115" s="11" t="s">
        <v>729</v>
      </c>
      <c r="B115" s="12" t="s">
        <v>34</v>
      </c>
      <c r="C115" s="12" t="s">
        <v>506</v>
      </c>
      <c r="D115" s="12">
        <v>20</v>
      </c>
      <c r="E115" s="12">
        <v>7</v>
      </c>
      <c r="F115" s="12">
        <v>4</v>
      </c>
      <c r="G115" s="12">
        <v>4</v>
      </c>
      <c r="H115" s="12">
        <v>37.333734989166203</v>
      </c>
      <c r="I115" s="12">
        <v>5.5571212539999904</v>
      </c>
      <c r="J115" s="12">
        <v>31.776613735166201</v>
      </c>
      <c r="K115" s="12">
        <v>12.132044765</v>
      </c>
      <c r="L115" s="12">
        <v>3.0325916109999902</v>
      </c>
      <c r="M115" s="12">
        <v>20.759998385999999</v>
      </c>
      <c r="N115" s="12">
        <v>442.24389034764499</v>
      </c>
      <c r="O115" s="12" t="s">
        <v>333</v>
      </c>
      <c r="P115" s="12">
        <v>195</v>
      </c>
      <c r="Q115" s="12">
        <v>81</v>
      </c>
      <c r="S115" s="12">
        <v>28.3275740146636</v>
      </c>
      <c r="T115">
        <f t="shared" si="3"/>
        <v>-9.0061609745026026</v>
      </c>
    </row>
    <row r="116" spans="1:20" x14ac:dyDescent="0.2">
      <c r="A116" s="11" t="s">
        <v>732</v>
      </c>
      <c r="B116" s="12" t="s">
        <v>34</v>
      </c>
      <c r="C116" s="12" t="s">
        <v>507</v>
      </c>
      <c r="D116" s="12">
        <v>20</v>
      </c>
      <c r="E116" s="12">
        <v>9</v>
      </c>
      <c r="F116" s="12">
        <v>5</v>
      </c>
      <c r="G116" s="12">
        <v>4</v>
      </c>
      <c r="H116" s="12">
        <v>38.095594882965003</v>
      </c>
      <c r="I116" s="12">
        <v>5.5180514580000004</v>
      </c>
      <c r="J116" s="12">
        <v>32.577543424965</v>
      </c>
      <c r="K116" s="12">
        <v>19.311407854999999</v>
      </c>
      <c r="L116" s="12">
        <v>12.603014565000001</v>
      </c>
      <c r="M116" s="12">
        <v>4.758498361</v>
      </c>
      <c r="N116" s="12">
        <v>462.05952482897902</v>
      </c>
      <c r="O116" s="12" t="s">
        <v>333</v>
      </c>
      <c r="P116" s="12">
        <v>58</v>
      </c>
      <c r="Q116" s="12">
        <v>58</v>
      </c>
      <c r="S116" s="12">
        <v>39.2145030498504</v>
      </c>
      <c r="T116">
        <f t="shared" si="3"/>
        <v>1.1189081668853973</v>
      </c>
    </row>
    <row r="117" spans="1:20" x14ac:dyDescent="0.2">
      <c r="A117" s="11" t="s">
        <v>736</v>
      </c>
      <c r="B117" s="12" t="s">
        <v>34</v>
      </c>
      <c r="C117" s="12" t="s">
        <v>124</v>
      </c>
      <c r="D117" s="12">
        <v>20</v>
      </c>
      <c r="E117" s="12">
        <v>4</v>
      </c>
      <c r="F117" s="12">
        <v>2</v>
      </c>
      <c r="G117" s="12">
        <v>5</v>
      </c>
      <c r="H117" s="12">
        <v>21.9009878635406</v>
      </c>
      <c r="I117" s="12">
        <v>5.5231077580000001</v>
      </c>
      <c r="J117" s="12">
        <v>16.377880105540601</v>
      </c>
      <c r="K117" s="12">
        <v>11.300071492000001</v>
      </c>
      <c r="L117" s="12">
        <v>2.69550505799999</v>
      </c>
      <c r="M117" s="12">
        <v>6.5046167180000003</v>
      </c>
      <c r="N117" s="12">
        <v>465.195083648739</v>
      </c>
      <c r="O117" s="12" t="s">
        <v>333</v>
      </c>
      <c r="P117" s="12">
        <v>13</v>
      </c>
      <c r="Q117" s="12">
        <v>13</v>
      </c>
      <c r="S117" s="12">
        <v>22.2435171604156</v>
      </c>
      <c r="T117">
        <f t="shared" si="3"/>
        <v>0.342529296875</v>
      </c>
    </row>
    <row r="118" spans="1:20" x14ac:dyDescent="0.2">
      <c r="A118" s="11" t="s">
        <v>740</v>
      </c>
      <c r="B118" s="12" t="s">
        <v>34</v>
      </c>
      <c r="C118" s="12" t="s">
        <v>508</v>
      </c>
      <c r="D118" s="12">
        <v>20</v>
      </c>
      <c r="E118" s="12">
        <v>7</v>
      </c>
      <c r="F118" s="12">
        <v>4</v>
      </c>
      <c r="G118" s="12">
        <v>4</v>
      </c>
      <c r="H118" s="12">
        <v>25.5362050533294</v>
      </c>
      <c r="I118" s="12">
        <v>5.5275460569999897</v>
      </c>
      <c r="J118" s="12">
        <v>20.008658996329402</v>
      </c>
      <c r="K118" s="12">
        <v>12.048703517</v>
      </c>
      <c r="L118" s="12">
        <v>2.9937650709999999</v>
      </c>
      <c r="M118" s="12">
        <v>9.0783620630000001</v>
      </c>
      <c r="N118" s="12">
        <v>413.27014465749602</v>
      </c>
      <c r="O118" s="12" t="s">
        <v>333</v>
      </c>
      <c r="P118" s="12">
        <v>45</v>
      </c>
      <c r="Q118" s="12">
        <v>27</v>
      </c>
      <c r="S118" s="12">
        <v>24.730745077133101</v>
      </c>
      <c r="T118">
        <f t="shared" si="3"/>
        <v>-0.80545997619629972</v>
      </c>
    </row>
    <row r="119" spans="1:20" x14ac:dyDescent="0.2">
      <c r="A119" s="11" t="s">
        <v>744</v>
      </c>
      <c r="B119" s="12" t="s">
        <v>34</v>
      </c>
      <c r="C119" s="12" t="s">
        <v>509</v>
      </c>
      <c r="D119" s="12">
        <v>20</v>
      </c>
      <c r="E119" s="12">
        <v>9</v>
      </c>
      <c r="F119" s="12">
        <v>5</v>
      </c>
      <c r="G119" s="12">
        <v>4</v>
      </c>
      <c r="H119" s="12">
        <v>31.3121800422668</v>
      </c>
      <c r="I119" s="12">
        <v>5.5494091249999897</v>
      </c>
      <c r="J119" s="12">
        <v>25.762770917266799</v>
      </c>
      <c r="K119" s="12">
        <v>18.635971969</v>
      </c>
      <c r="L119" s="12">
        <v>3.6185493549999999</v>
      </c>
      <c r="M119" s="12">
        <v>7.6291788890000003</v>
      </c>
      <c r="N119" s="12">
        <v>479.56730727417499</v>
      </c>
      <c r="O119" s="12" t="s">
        <v>333</v>
      </c>
      <c r="P119" s="12">
        <v>15</v>
      </c>
      <c r="Q119" s="12">
        <v>21</v>
      </c>
      <c r="S119" s="12">
        <v>31.950495004653899</v>
      </c>
      <c r="T119">
        <f t="shared" si="3"/>
        <v>0.63831496238709917</v>
      </c>
    </row>
    <row r="120" spans="1:20" x14ac:dyDescent="0.2">
      <c r="A120" s="11" t="s">
        <v>748</v>
      </c>
      <c r="B120" s="12" t="s">
        <v>34</v>
      </c>
      <c r="C120" s="12" t="s">
        <v>125</v>
      </c>
      <c r="D120" s="12">
        <v>20</v>
      </c>
      <c r="E120" s="12">
        <v>4</v>
      </c>
      <c r="F120" s="12">
        <v>2</v>
      </c>
      <c r="G120" s="12">
        <v>5</v>
      </c>
      <c r="H120" s="12">
        <v>23.468115091323799</v>
      </c>
      <c r="I120" s="12">
        <v>5.5396728279999996</v>
      </c>
      <c r="J120" s="12">
        <v>17.928442263323799</v>
      </c>
      <c r="K120" s="12">
        <v>11.328313537</v>
      </c>
      <c r="L120" s="12">
        <v>2.9505201030000001</v>
      </c>
      <c r="M120" s="12">
        <v>7.7890252120000003</v>
      </c>
      <c r="N120" s="12">
        <v>478.08919402280799</v>
      </c>
      <c r="O120" s="12" t="s">
        <v>333</v>
      </c>
      <c r="P120" s="12">
        <v>33</v>
      </c>
      <c r="Q120" s="12">
        <v>107</v>
      </c>
      <c r="S120" s="12">
        <v>27.362259149551299</v>
      </c>
      <c r="T120">
        <f t="shared" si="3"/>
        <v>3.8941440582275</v>
      </c>
    </row>
    <row r="121" spans="1:20" x14ac:dyDescent="0.2">
      <c r="A121" s="11" t="s">
        <v>752</v>
      </c>
      <c r="B121" s="12" t="s">
        <v>34</v>
      </c>
      <c r="C121" s="12" t="s">
        <v>510</v>
      </c>
      <c r="D121" s="12">
        <v>20</v>
      </c>
      <c r="E121" s="12">
        <v>7</v>
      </c>
      <c r="F121" s="12">
        <v>4</v>
      </c>
      <c r="G121" s="12">
        <v>4</v>
      </c>
      <c r="H121" s="12">
        <v>31.566938877105699</v>
      </c>
      <c r="I121" s="12">
        <v>5.5101469290000002</v>
      </c>
      <c r="J121" s="12">
        <v>26.056791948105701</v>
      </c>
      <c r="K121" s="12">
        <v>12.027311958</v>
      </c>
      <c r="L121" s="12">
        <v>3.0948130049999998</v>
      </c>
      <c r="M121" s="12">
        <v>15.039088225</v>
      </c>
      <c r="N121" s="12">
        <v>377.42816750889699</v>
      </c>
      <c r="O121" s="12" t="s">
        <v>333</v>
      </c>
      <c r="P121" s="12">
        <v>111</v>
      </c>
      <c r="Q121" s="12">
        <v>143</v>
      </c>
      <c r="S121" s="12">
        <v>33.678938150405799</v>
      </c>
      <c r="T121">
        <f t="shared" si="3"/>
        <v>2.1119992733000998</v>
      </c>
    </row>
    <row r="122" spans="1:20" x14ac:dyDescent="0.2">
      <c r="A122" s="11" t="s">
        <v>756</v>
      </c>
      <c r="B122" s="12" t="s">
        <v>34</v>
      </c>
      <c r="C122" s="12" t="s">
        <v>511</v>
      </c>
      <c r="D122" s="12">
        <v>20</v>
      </c>
      <c r="E122" s="12">
        <v>9</v>
      </c>
      <c r="F122" s="12">
        <v>5</v>
      </c>
      <c r="G122" s="12">
        <v>5</v>
      </c>
      <c r="H122" s="12">
        <v>35.1313028335571</v>
      </c>
      <c r="I122" s="12">
        <v>5.5374442400000001</v>
      </c>
      <c r="J122" s="12">
        <v>29.593858593557101</v>
      </c>
      <c r="K122" s="12">
        <v>19.359102061000002</v>
      </c>
      <c r="L122" s="12">
        <v>2.779555443</v>
      </c>
      <c r="M122" s="12">
        <v>11.56914042</v>
      </c>
      <c r="N122" s="12">
        <v>436.30908616156</v>
      </c>
      <c r="O122" s="12" t="s">
        <v>333</v>
      </c>
      <c r="P122" s="12">
        <v>81</v>
      </c>
      <c r="Q122" s="12">
        <v>9</v>
      </c>
      <c r="S122" s="12">
        <v>30.370085954666099</v>
      </c>
      <c r="T122">
        <f t="shared" si="3"/>
        <v>-4.7612168788910019</v>
      </c>
    </row>
    <row r="123" spans="1:20" s="33" customFormat="1" x14ac:dyDescent="0.2">
      <c r="A123" s="48"/>
      <c r="B123" s="35"/>
      <c r="C123" s="35"/>
      <c r="D123" s="35"/>
      <c r="E123" s="35"/>
      <c r="F123" s="35"/>
      <c r="G123" s="35"/>
      <c r="H123" s="35">
        <f t="shared" ref="H123:O123" si="4">AVERAGE(H63:H122)</f>
        <v>28.936281367142968</v>
      </c>
      <c r="I123" s="35"/>
      <c r="J123" s="35"/>
      <c r="K123" s="35"/>
      <c r="L123" s="35"/>
      <c r="M123" s="35"/>
      <c r="N123" s="35"/>
      <c r="O123" s="35"/>
      <c r="P123" s="35">
        <f>AVERAGE(P63:P122)</f>
        <v>47.166666666666664</v>
      </c>
      <c r="Q123" s="35">
        <f>AVERAGE(Q63:Q122)</f>
        <v>57.5</v>
      </c>
      <c r="R123" s="35"/>
      <c r="S123" s="35">
        <f>AVERAGE(S63:S122)</f>
        <v>30.333648212750731</v>
      </c>
    </row>
    <row r="124" spans="1:20" x14ac:dyDescent="0.2">
      <c r="A124" s="11" t="s">
        <v>524</v>
      </c>
      <c r="B124" s="12" t="s">
        <v>34</v>
      </c>
      <c r="C124" s="12" t="s">
        <v>127</v>
      </c>
      <c r="D124" s="12">
        <v>30</v>
      </c>
      <c r="E124" s="12">
        <v>4</v>
      </c>
      <c r="F124" s="12">
        <v>2</v>
      </c>
      <c r="G124" s="12">
        <v>7</v>
      </c>
      <c r="H124" s="12">
        <v>37.327403068542402</v>
      </c>
      <c r="I124" s="12">
        <v>5.5262087710000003</v>
      </c>
      <c r="J124" s="12">
        <v>31.801194297542398</v>
      </c>
      <c r="K124" s="12">
        <v>11.521820282</v>
      </c>
      <c r="L124" s="12">
        <v>5.3536746920000002</v>
      </c>
      <c r="M124" s="12">
        <v>19.052331296999999</v>
      </c>
      <c r="N124" s="12">
        <v>614.85426275938801</v>
      </c>
      <c r="O124" s="12" t="s">
        <v>333</v>
      </c>
      <c r="P124" s="12">
        <v>85</v>
      </c>
      <c r="Q124" s="12">
        <v>65</v>
      </c>
      <c r="S124" s="12">
        <v>32.9860999584198</v>
      </c>
      <c r="T124">
        <f t="shared" si="3"/>
        <v>-4.3413031101226025</v>
      </c>
    </row>
    <row r="125" spans="1:20" x14ac:dyDescent="0.2">
      <c r="A125" s="11" t="s">
        <v>528</v>
      </c>
      <c r="B125" s="12" t="s">
        <v>34</v>
      </c>
      <c r="C125" s="12" t="s">
        <v>128</v>
      </c>
      <c r="D125" s="12">
        <v>30</v>
      </c>
      <c r="E125" s="12">
        <v>7</v>
      </c>
      <c r="F125" s="12">
        <v>4</v>
      </c>
      <c r="G125" s="12">
        <v>6</v>
      </c>
      <c r="H125" s="12">
        <v>57.250587940216001</v>
      </c>
      <c r="I125" s="12">
        <v>5.5338353690000002</v>
      </c>
      <c r="J125" s="12">
        <v>51.716752571215999</v>
      </c>
      <c r="K125" s="12">
        <v>13.627213059000001</v>
      </c>
      <c r="L125" s="12">
        <v>6.1409260439999898</v>
      </c>
      <c r="M125" s="12">
        <v>36.043521067999997</v>
      </c>
      <c r="N125" s="12">
        <v>559.29607437413404</v>
      </c>
      <c r="O125" s="12" t="s">
        <v>333</v>
      </c>
      <c r="P125" s="12">
        <v>149</v>
      </c>
      <c r="Q125" s="12">
        <v>25</v>
      </c>
      <c r="S125" s="12">
        <v>31.979292154312098</v>
      </c>
      <c r="T125">
        <f t="shared" si="3"/>
        <v>-25.271295785903902</v>
      </c>
    </row>
    <row r="126" spans="1:20" x14ac:dyDescent="0.2">
      <c r="A126" s="11" t="s">
        <v>532</v>
      </c>
      <c r="B126" s="12" t="s">
        <v>34</v>
      </c>
      <c r="C126" s="12" t="s">
        <v>130</v>
      </c>
      <c r="D126" s="12">
        <v>30</v>
      </c>
      <c r="E126" s="12">
        <v>10</v>
      </c>
      <c r="F126" s="12">
        <v>5</v>
      </c>
      <c r="G126" s="12">
        <v>6</v>
      </c>
      <c r="H126" s="12">
        <v>171.207364082336</v>
      </c>
      <c r="I126" s="12">
        <v>5.5335090310000004</v>
      </c>
      <c r="J126" s="12">
        <v>165.67385505133601</v>
      </c>
      <c r="K126" s="12">
        <v>120.74917762</v>
      </c>
      <c r="L126" s="12">
        <v>5.7964823729999999</v>
      </c>
      <c r="M126" s="12">
        <v>43.178124212</v>
      </c>
      <c r="N126" s="12">
        <v>604.31370621674898</v>
      </c>
      <c r="O126" s="12" t="s">
        <v>333</v>
      </c>
      <c r="P126" s="12">
        <v>161</v>
      </c>
      <c r="Q126" s="12">
        <v>117</v>
      </c>
      <c r="S126" s="12">
        <v>158.94800901412901</v>
      </c>
      <c r="T126">
        <f t="shared" si="3"/>
        <v>-12.259355068206986</v>
      </c>
    </row>
    <row r="127" spans="1:20" x14ac:dyDescent="0.2">
      <c r="A127" s="11" t="s">
        <v>536</v>
      </c>
      <c r="B127" s="12" t="s">
        <v>34</v>
      </c>
      <c r="C127" s="12" t="s">
        <v>132</v>
      </c>
      <c r="D127" s="12">
        <v>30</v>
      </c>
      <c r="E127" s="12">
        <v>4</v>
      </c>
      <c r="F127" s="12">
        <v>2</v>
      </c>
      <c r="G127" s="12">
        <v>8</v>
      </c>
      <c r="H127" s="12">
        <v>30.932348012924098</v>
      </c>
      <c r="I127" s="12">
        <v>5.5335439900000001</v>
      </c>
      <c r="J127" s="12">
        <v>25.3988040229241</v>
      </c>
      <c r="K127" s="12">
        <v>11.580938212</v>
      </c>
      <c r="L127" s="12">
        <v>4.6011482739999998</v>
      </c>
      <c r="M127" s="12">
        <v>13.347847895999999</v>
      </c>
      <c r="N127" s="12">
        <v>604.43098366082904</v>
      </c>
      <c r="O127" s="12" t="s">
        <v>333</v>
      </c>
      <c r="P127" s="12">
        <v>63</v>
      </c>
      <c r="Q127" s="12">
        <v>41</v>
      </c>
      <c r="S127" s="12">
        <v>28.455193042755099</v>
      </c>
      <c r="T127">
        <f t="shared" si="3"/>
        <v>-2.4771549701689999</v>
      </c>
    </row>
    <row r="128" spans="1:20" x14ac:dyDescent="0.2">
      <c r="A128" s="11" t="s">
        <v>540</v>
      </c>
      <c r="B128" s="12" t="s">
        <v>34</v>
      </c>
      <c r="C128" s="12" t="s">
        <v>133</v>
      </c>
      <c r="D128" s="12">
        <v>30</v>
      </c>
      <c r="E128" s="12">
        <v>7</v>
      </c>
      <c r="F128" s="12">
        <v>4</v>
      </c>
      <c r="G128" s="12">
        <v>6</v>
      </c>
      <c r="H128" s="12">
        <v>31.130794048309301</v>
      </c>
      <c r="I128" s="12">
        <v>5.5475666179999896</v>
      </c>
      <c r="J128" s="12">
        <v>25.5832274303093</v>
      </c>
      <c r="K128" s="12">
        <v>13.653553672999999</v>
      </c>
      <c r="L128" s="12">
        <v>5.2489380219999999</v>
      </c>
      <c r="M128" s="12">
        <v>10.792812040999999</v>
      </c>
      <c r="N128" s="12">
        <v>583.74331877776797</v>
      </c>
      <c r="O128" s="12" t="s">
        <v>333</v>
      </c>
      <c r="P128" s="12">
        <v>21</v>
      </c>
      <c r="Q128" s="12">
        <v>49</v>
      </c>
      <c r="S128" s="12">
        <v>34.856982946395803</v>
      </c>
      <c r="T128">
        <f t="shared" si="3"/>
        <v>3.7261888980865017</v>
      </c>
    </row>
    <row r="129" spans="1:20" x14ac:dyDescent="0.2">
      <c r="A129" s="11" t="s">
        <v>544</v>
      </c>
      <c r="B129" s="12" t="s">
        <v>34</v>
      </c>
      <c r="C129" s="12" t="s">
        <v>135</v>
      </c>
      <c r="D129" s="12">
        <v>30</v>
      </c>
      <c r="E129" s="12">
        <v>9</v>
      </c>
      <c r="F129" s="12">
        <v>5</v>
      </c>
      <c r="G129" s="12">
        <v>6</v>
      </c>
      <c r="H129" s="12">
        <v>93.995451927185002</v>
      </c>
      <c r="I129" s="12">
        <v>5.550573011</v>
      </c>
      <c r="J129" s="12">
        <v>88.444878916185004</v>
      </c>
      <c r="K129" s="12">
        <v>73.639887028999993</v>
      </c>
      <c r="L129" s="12">
        <v>4.4011498250000001</v>
      </c>
      <c r="M129" s="12">
        <v>14.483538583</v>
      </c>
      <c r="N129" s="12">
        <v>617.28649184489302</v>
      </c>
      <c r="O129" s="12" t="s">
        <v>333</v>
      </c>
      <c r="P129" s="12">
        <v>41</v>
      </c>
      <c r="Q129" s="12">
        <v>47</v>
      </c>
      <c r="S129" s="12">
        <v>99.0616037845611</v>
      </c>
      <c r="T129">
        <f t="shared" si="3"/>
        <v>5.0661518573760986</v>
      </c>
    </row>
    <row r="130" spans="1:20" x14ac:dyDescent="0.2">
      <c r="A130" s="11" t="s">
        <v>548</v>
      </c>
      <c r="B130" s="12" t="s">
        <v>34</v>
      </c>
      <c r="C130" s="12" t="s">
        <v>136</v>
      </c>
      <c r="D130" s="12">
        <v>30</v>
      </c>
      <c r="E130" s="12">
        <v>4</v>
      </c>
      <c r="F130" s="12">
        <v>2</v>
      </c>
      <c r="G130" s="12">
        <v>8</v>
      </c>
      <c r="H130" s="12">
        <v>27.7088460922241</v>
      </c>
      <c r="I130" s="12">
        <v>5.5651424399999998</v>
      </c>
      <c r="J130" s="12">
        <v>22.143703652224101</v>
      </c>
      <c r="K130" s="12">
        <v>11.546830680999999</v>
      </c>
      <c r="L130" s="12">
        <v>4.019133654</v>
      </c>
      <c r="M130" s="12">
        <v>10.743934170999999</v>
      </c>
      <c r="N130" s="12">
        <v>625.80253431226299</v>
      </c>
      <c r="O130" s="12" t="s">
        <v>333</v>
      </c>
      <c r="P130" s="12">
        <v>37</v>
      </c>
      <c r="Q130" s="12">
        <v>77</v>
      </c>
      <c r="S130" s="12">
        <v>32.0975210666656</v>
      </c>
      <c r="T130">
        <f t="shared" si="3"/>
        <v>4.3886749744414999</v>
      </c>
    </row>
    <row r="131" spans="1:20" x14ac:dyDescent="0.2">
      <c r="A131" s="11" t="s">
        <v>552</v>
      </c>
      <c r="B131" s="12" t="s">
        <v>34</v>
      </c>
      <c r="C131" s="12" t="s">
        <v>138</v>
      </c>
      <c r="D131" s="12">
        <v>30</v>
      </c>
      <c r="E131" s="12">
        <v>7</v>
      </c>
      <c r="F131" s="12">
        <v>4</v>
      </c>
      <c r="G131" s="12">
        <v>6</v>
      </c>
      <c r="H131" s="12">
        <v>71.9352481365203</v>
      </c>
      <c r="I131" s="12">
        <v>5.5885842739999996</v>
      </c>
      <c r="J131" s="12">
        <v>66.346663862520302</v>
      </c>
      <c r="K131" s="12">
        <v>13.639899799</v>
      </c>
      <c r="L131" s="12">
        <v>7.556636406</v>
      </c>
      <c r="M131" s="12">
        <v>49.317967009999997</v>
      </c>
      <c r="N131" s="12">
        <v>572.12982116974501</v>
      </c>
      <c r="O131" s="12" t="s">
        <v>333</v>
      </c>
      <c r="P131" s="12">
        <v>215</v>
      </c>
      <c r="Q131" s="12">
        <v>99</v>
      </c>
      <c r="S131" s="12">
        <v>46.009464979171703</v>
      </c>
      <c r="T131">
        <f t="shared" si="3"/>
        <v>-25.925783157348597</v>
      </c>
    </row>
    <row r="132" spans="1:20" x14ac:dyDescent="0.2">
      <c r="A132" s="11" t="s">
        <v>556</v>
      </c>
      <c r="B132" s="12" t="s">
        <v>34</v>
      </c>
      <c r="C132" s="12" t="s">
        <v>139</v>
      </c>
      <c r="D132" s="12">
        <v>30</v>
      </c>
      <c r="E132" s="12">
        <v>9</v>
      </c>
      <c r="F132" s="12">
        <v>5</v>
      </c>
      <c r="G132" s="12">
        <v>6</v>
      </c>
      <c r="H132" s="12">
        <v>107.57881188392599</v>
      </c>
      <c r="I132" s="12">
        <v>5.6002968920000002</v>
      </c>
      <c r="J132" s="12">
        <v>101.978514991926</v>
      </c>
      <c r="K132" s="12">
        <v>77.09205455</v>
      </c>
      <c r="L132" s="12">
        <v>6.3481861559999997</v>
      </c>
      <c r="M132" s="12">
        <v>22.635227088000001</v>
      </c>
      <c r="N132" s="12">
        <v>573.74043763102497</v>
      </c>
      <c r="O132" s="12" t="s">
        <v>333</v>
      </c>
      <c r="P132" s="12">
        <v>59</v>
      </c>
      <c r="Q132" s="12">
        <v>33</v>
      </c>
      <c r="S132" s="12">
        <v>101.267302036285</v>
      </c>
      <c r="T132">
        <f t="shared" ref="T132:T183" si="5">S132-H132</f>
        <v>-6.3115098476409912</v>
      </c>
    </row>
    <row r="133" spans="1:20" x14ac:dyDescent="0.2">
      <c r="A133" s="11" t="s">
        <v>560</v>
      </c>
      <c r="B133" s="12" t="s">
        <v>34</v>
      </c>
      <c r="C133" s="12" t="s">
        <v>140</v>
      </c>
      <c r="D133" s="12">
        <v>30</v>
      </c>
      <c r="E133" s="12">
        <v>4</v>
      </c>
      <c r="F133" s="12">
        <v>2</v>
      </c>
      <c r="G133" s="12">
        <v>7</v>
      </c>
      <c r="H133" s="12">
        <v>24.066236972808799</v>
      </c>
      <c r="I133" s="12">
        <v>5.626387383</v>
      </c>
      <c r="J133" s="12">
        <v>18.439849589808802</v>
      </c>
      <c r="K133" s="12">
        <v>11.611698323000001</v>
      </c>
      <c r="L133" s="12">
        <v>3.6365502670000001</v>
      </c>
      <c r="M133" s="12">
        <v>7.3494198759999998</v>
      </c>
      <c r="N133" s="12">
        <v>580.59611085589597</v>
      </c>
      <c r="O133" s="12" t="s">
        <v>333</v>
      </c>
      <c r="P133" s="12">
        <v>11</v>
      </c>
      <c r="Q133" s="12">
        <v>31</v>
      </c>
      <c r="S133" s="12">
        <v>25.988829851150498</v>
      </c>
      <c r="T133">
        <f t="shared" si="5"/>
        <v>1.9225928783416997</v>
      </c>
    </row>
    <row r="134" spans="1:20" x14ac:dyDescent="0.2">
      <c r="A134" s="11" t="s">
        <v>564</v>
      </c>
      <c r="B134" s="12" t="s">
        <v>34</v>
      </c>
      <c r="C134" s="12" t="s">
        <v>141</v>
      </c>
      <c r="D134" s="12">
        <v>30</v>
      </c>
      <c r="E134" s="12">
        <v>7</v>
      </c>
      <c r="F134" s="12">
        <v>4</v>
      </c>
      <c r="G134" s="12">
        <v>6</v>
      </c>
      <c r="H134" s="12">
        <v>71.617774963378906</v>
      </c>
      <c r="I134" s="12">
        <v>5.6116757220000002</v>
      </c>
      <c r="J134" s="12">
        <v>66.006099241378905</v>
      </c>
      <c r="K134" s="12">
        <v>13.371936334999999</v>
      </c>
      <c r="L134" s="12">
        <v>4.3413340329999999</v>
      </c>
      <c r="M134" s="12">
        <v>52.476900344000001</v>
      </c>
      <c r="N134" s="12">
        <v>575.61696262115197</v>
      </c>
      <c r="O134" s="12" t="s">
        <v>333</v>
      </c>
      <c r="P134" s="12">
        <v>265</v>
      </c>
      <c r="Q134" s="12">
        <v>287</v>
      </c>
      <c r="S134" s="12">
        <v>71.273907899856496</v>
      </c>
      <c r="T134">
        <f t="shared" si="5"/>
        <v>-0.34386706352240992</v>
      </c>
    </row>
    <row r="135" spans="1:20" x14ac:dyDescent="0.2">
      <c r="A135" s="11" t="s">
        <v>568</v>
      </c>
      <c r="B135" s="12" t="s">
        <v>34</v>
      </c>
      <c r="C135" s="12" t="s">
        <v>142</v>
      </c>
      <c r="D135" s="12">
        <v>30</v>
      </c>
      <c r="E135" s="12">
        <v>9</v>
      </c>
      <c r="F135" s="12">
        <v>5</v>
      </c>
      <c r="G135" s="12">
        <v>6</v>
      </c>
      <c r="H135" s="12">
        <v>141.38928198814301</v>
      </c>
      <c r="I135" s="12">
        <v>5.5984906759999999</v>
      </c>
      <c r="J135" s="12">
        <v>135.790791312143</v>
      </c>
      <c r="K135" s="12">
        <v>67.717523657000001</v>
      </c>
      <c r="L135" s="12">
        <v>7.72043648</v>
      </c>
      <c r="M135" s="12">
        <v>64.453312725000004</v>
      </c>
      <c r="N135" s="12">
        <v>588.32410208267299</v>
      </c>
      <c r="O135" s="12" t="s">
        <v>333</v>
      </c>
      <c r="P135" s="12">
        <v>175</v>
      </c>
      <c r="Q135" s="12">
        <v>243</v>
      </c>
      <c r="S135" s="12">
        <v>143.85133314132599</v>
      </c>
      <c r="T135">
        <f t="shared" si="5"/>
        <v>2.4620511531829834</v>
      </c>
    </row>
    <row r="136" spans="1:20" x14ac:dyDescent="0.2">
      <c r="A136" s="11" t="s">
        <v>572</v>
      </c>
      <c r="B136" s="12" t="s">
        <v>34</v>
      </c>
      <c r="C136" s="12" t="s">
        <v>143</v>
      </c>
      <c r="D136" s="12">
        <v>30</v>
      </c>
      <c r="E136" s="12">
        <v>4</v>
      </c>
      <c r="F136" s="12">
        <v>2</v>
      </c>
      <c r="G136" s="12">
        <v>7</v>
      </c>
      <c r="H136" s="12">
        <v>24.664646148681602</v>
      </c>
      <c r="I136" s="12">
        <v>5.6767374149999998</v>
      </c>
      <c r="J136" s="12">
        <v>18.9879087336816</v>
      </c>
      <c r="K136" s="12">
        <v>11.623485101</v>
      </c>
      <c r="L136" s="12">
        <v>3.9690906069999898</v>
      </c>
      <c r="M136" s="12">
        <v>7.612943199</v>
      </c>
      <c r="N136" s="12">
        <v>587.46557941057097</v>
      </c>
      <c r="O136" s="12" t="s">
        <v>333</v>
      </c>
      <c r="P136" s="12">
        <v>15</v>
      </c>
      <c r="Q136" s="12">
        <v>11</v>
      </c>
      <c r="S136" s="12">
        <v>24.375102996826101</v>
      </c>
      <c r="T136">
        <f t="shared" si="5"/>
        <v>-0.28954315185550072</v>
      </c>
    </row>
    <row r="137" spans="1:20" x14ac:dyDescent="0.2">
      <c r="A137" s="11" t="s">
        <v>576</v>
      </c>
      <c r="B137" s="12" t="s">
        <v>34</v>
      </c>
      <c r="C137" s="12" t="s">
        <v>144</v>
      </c>
      <c r="D137" s="12">
        <v>30</v>
      </c>
      <c r="E137" s="12">
        <v>7</v>
      </c>
      <c r="F137" s="12">
        <v>4</v>
      </c>
      <c r="G137" s="12">
        <v>6</v>
      </c>
      <c r="H137" s="12">
        <v>71.786412954330402</v>
      </c>
      <c r="I137" s="12">
        <v>5.5523688729999998</v>
      </c>
      <c r="J137" s="12">
        <v>66.234044081330396</v>
      </c>
      <c r="K137" s="12">
        <v>13.613247962000001</v>
      </c>
      <c r="L137" s="12">
        <v>3.6351002640000001</v>
      </c>
      <c r="M137" s="12">
        <v>53.097647152999997</v>
      </c>
      <c r="N137" s="12">
        <v>480.45524996468998</v>
      </c>
      <c r="O137" s="12" t="s">
        <v>333</v>
      </c>
      <c r="P137" s="12">
        <v>283</v>
      </c>
      <c r="Q137" s="12">
        <v>159</v>
      </c>
      <c r="S137" s="12">
        <v>47.798230886459301</v>
      </c>
      <c r="T137">
        <f t="shared" si="5"/>
        <v>-23.988182067871101</v>
      </c>
    </row>
    <row r="138" spans="1:20" x14ac:dyDescent="0.2">
      <c r="A138" s="11" t="s">
        <v>580</v>
      </c>
      <c r="B138" s="12" t="s">
        <v>34</v>
      </c>
      <c r="C138" s="12" t="s">
        <v>145</v>
      </c>
      <c r="D138" s="12">
        <v>30</v>
      </c>
      <c r="E138" s="12">
        <v>9</v>
      </c>
      <c r="F138" s="12">
        <v>5</v>
      </c>
      <c r="G138" s="12">
        <v>6</v>
      </c>
      <c r="H138" s="12">
        <v>112.08741712570099</v>
      </c>
      <c r="I138" s="12">
        <v>5.5522960640000001</v>
      </c>
      <c r="J138" s="12">
        <v>106.53512106170101</v>
      </c>
      <c r="K138" s="12">
        <v>71.838503767999995</v>
      </c>
      <c r="L138" s="12">
        <v>5.9379623830000003</v>
      </c>
      <c r="M138" s="12">
        <v>32.855216421999998</v>
      </c>
      <c r="N138" s="12">
        <v>531.18415941058595</v>
      </c>
      <c r="O138" s="12" t="s">
        <v>333</v>
      </c>
      <c r="P138" s="12">
        <v>109</v>
      </c>
      <c r="Q138" s="12">
        <v>37</v>
      </c>
      <c r="S138" s="12">
        <v>94.831383943557697</v>
      </c>
      <c r="T138">
        <f t="shared" si="5"/>
        <v>-17.256033182143298</v>
      </c>
    </row>
    <row r="139" spans="1:20" s="51" customFormat="1" x14ac:dyDescent="0.2">
      <c r="A139" s="49" t="s">
        <v>584</v>
      </c>
      <c r="B139" s="50" t="s">
        <v>34</v>
      </c>
      <c r="C139" s="50" t="s">
        <v>147</v>
      </c>
      <c r="D139" s="50">
        <v>30</v>
      </c>
      <c r="E139" s="50">
        <v>4</v>
      </c>
      <c r="F139" s="50">
        <v>2</v>
      </c>
      <c r="G139" s="50">
        <v>7</v>
      </c>
      <c r="H139" s="50">
        <v>2166.9809479713399</v>
      </c>
      <c r="I139" s="50">
        <v>5.5464242109999997</v>
      </c>
      <c r="J139" s="50">
        <v>2161.4345237603402</v>
      </c>
      <c r="K139" s="50">
        <v>11.55404371</v>
      </c>
      <c r="L139" s="50">
        <v>4.0637535499999897</v>
      </c>
      <c r="M139" s="50">
        <v>2149.9647974089999</v>
      </c>
      <c r="N139" s="50">
        <v>610.60365361303104</v>
      </c>
      <c r="O139" s="50" t="s">
        <v>333</v>
      </c>
      <c r="P139" s="50">
        <v>9425</v>
      </c>
      <c r="Q139" s="50">
        <v>3017</v>
      </c>
      <c r="S139" s="50">
        <v>603.64122200012196</v>
      </c>
      <c r="T139" s="51">
        <f t="shared" si="5"/>
        <v>-1563.3397259712178</v>
      </c>
    </row>
    <row r="140" spans="1:20" x14ac:dyDescent="0.2">
      <c r="A140" s="11" t="s">
        <v>588</v>
      </c>
      <c r="B140" s="12" t="s">
        <v>34</v>
      </c>
      <c r="C140" s="12" t="s">
        <v>148</v>
      </c>
      <c r="D140" s="12">
        <v>30</v>
      </c>
      <c r="E140" s="12">
        <v>7</v>
      </c>
      <c r="F140" s="12">
        <v>4</v>
      </c>
      <c r="G140" s="12">
        <v>6</v>
      </c>
      <c r="H140" s="12">
        <v>82.836061954498206</v>
      </c>
      <c r="I140" s="12">
        <v>5.531446946</v>
      </c>
      <c r="J140" s="12">
        <v>77.304615008498203</v>
      </c>
      <c r="K140" s="12">
        <v>13.661622335000001</v>
      </c>
      <c r="L140" s="12">
        <v>3.7487148100000001</v>
      </c>
      <c r="M140" s="12">
        <v>63.984521299999997</v>
      </c>
      <c r="N140" s="12">
        <v>600.71736872768395</v>
      </c>
      <c r="O140" s="12" t="s">
        <v>333</v>
      </c>
      <c r="P140" s="12">
        <v>365</v>
      </c>
      <c r="Q140" s="12">
        <v>135</v>
      </c>
      <c r="S140" s="12">
        <v>48.750900983810403</v>
      </c>
      <c r="T140">
        <f t="shared" si="5"/>
        <v>-34.085160970687802</v>
      </c>
    </row>
    <row r="141" spans="1:20" x14ac:dyDescent="0.2">
      <c r="A141" s="11" t="s">
        <v>592</v>
      </c>
      <c r="B141" s="12" t="s">
        <v>34</v>
      </c>
      <c r="C141" s="12" t="s">
        <v>149</v>
      </c>
      <c r="D141" s="12">
        <v>30</v>
      </c>
      <c r="E141" s="12">
        <v>9</v>
      </c>
      <c r="F141" s="12">
        <v>5</v>
      </c>
      <c r="G141" s="12">
        <v>6</v>
      </c>
      <c r="H141" s="12">
        <v>92.718549013137803</v>
      </c>
      <c r="I141" s="12">
        <v>5.5697452580000002</v>
      </c>
      <c r="J141" s="12">
        <v>87.148803755137806</v>
      </c>
      <c r="K141" s="12">
        <v>71.091643767999997</v>
      </c>
      <c r="L141" s="12">
        <v>3.8568415109999998</v>
      </c>
      <c r="M141" s="12">
        <v>16.273282609999999</v>
      </c>
      <c r="N141" s="12">
        <v>638.62151885975402</v>
      </c>
      <c r="O141" s="12" t="s">
        <v>333</v>
      </c>
      <c r="P141" s="12">
        <v>63</v>
      </c>
      <c r="Q141" s="12">
        <v>53</v>
      </c>
      <c r="S141" s="12">
        <v>90.795753002166705</v>
      </c>
      <c r="T141">
        <f t="shared" si="5"/>
        <v>-1.9227960109710978</v>
      </c>
    </row>
    <row r="142" spans="1:20" x14ac:dyDescent="0.2">
      <c r="A142" s="11" t="s">
        <v>596</v>
      </c>
      <c r="B142" s="12" t="s">
        <v>34</v>
      </c>
      <c r="C142" s="12" t="s">
        <v>151</v>
      </c>
      <c r="D142" s="12">
        <v>30</v>
      </c>
      <c r="E142" s="12">
        <v>4</v>
      </c>
      <c r="F142" s="12">
        <v>2</v>
      </c>
      <c r="G142" s="12">
        <v>7</v>
      </c>
      <c r="H142" s="12">
        <v>33.226079940795898</v>
      </c>
      <c r="I142" s="12">
        <v>5.7076880919999997</v>
      </c>
      <c r="J142" s="12">
        <v>27.518391848795801</v>
      </c>
      <c r="K142" s="12">
        <v>11.891981796</v>
      </c>
      <c r="L142" s="12">
        <v>4.7509698890000003</v>
      </c>
      <c r="M142" s="12">
        <v>15.131304439999999</v>
      </c>
      <c r="N142" s="12">
        <v>593.39961695471504</v>
      </c>
      <c r="O142" s="12" t="s">
        <v>333</v>
      </c>
      <c r="P142" s="12">
        <v>41</v>
      </c>
      <c r="Q142" s="12">
        <v>93</v>
      </c>
      <c r="S142" s="12">
        <v>43.261624813079798</v>
      </c>
      <c r="T142">
        <f t="shared" si="5"/>
        <v>10.0355448722839</v>
      </c>
    </row>
    <row r="143" spans="1:20" x14ac:dyDescent="0.2">
      <c r="A143" s="11" t="s">
        <v>600</v>
      </c>
      <c r="B143" s="12" t="s">
        <v>34</v>
      </c>
      <c r="C143" s="12" t="s">
        <v>152</v>
      </c>
      <c r="D143" s="12">
        <v>30</v>
      </c>
      <c r="E143" s="12">
        <v>7</v>
      </c>
      <c r="F143" s="12">
        <v>4</v>
      </c>
      <c r="G143" s="12">
        <v>6</v>
      </c>
      <c r="H143" s="12">
        <v>39.507526159286499</v>
      </c>
      <c r="I143" s="12">
        <v>5.5357142350000004</v>
      </c>
      <c r="J143" s="12">
        <v>33.971811924286499</v>
      </c>
      <c r="K143" s="12">
        <v>13.662018538</v>
      </c>
      <c r="L143" s="12">
        <v>3.6354507809999999</v>
      </c>
      <c r="M143" s="12">
        <v>20.774806121000001</v>
      </c>
      <c r="N143" s="12">
        <v>592.90464665028503</v>
      </c>
      <c r="O143" s="12" t="s">
        <v>333</v>
      </c>
      <c r="P143" s="12">
        <v>65</v>
      </c>
      <c r="Q143" s="12">
        <v>45</v>
      </c>
      <c r="S143" s="12">
        <v>35.738354206085198</v>
      </c>
      <c r="T143">
        <f t="shared" si="5"/>
        <v>-3.7691719532013011</v>
      </c>
    </row>
    <row r="144" spans="1:20" x14ac:dyDescent="0.2">
      <c r="A144" s="11" t="s">
        <v>604</v>
      </c>
      <c r="B144" s="12" t="s">
        <v>34</v>
      </c>
      <c r="C144" s="12" t="s">
        <v>153</v>
      </c>
      <c r="D144" s="12">
        <v>30</v>
      </c>
      <c r="E144" s="12">
        <v>9</v>
      </c>
      <c r="F144" s="12">
        <v>5</v>
      </c>
      <c r="G144" s="12">
        <v>5</v>
      </c>
      <c r="H144" s="12">
        <v>101.862036943435</v>
      </c>
      <c r="I144" s="12">
        <v>5.652204545</v>
      </c>
      <c r="J144" s="12">
        <v>96.209832398435594</v>
      </c>
      <c r="K144" s="12">
        <v>68.884893250999994</v>
      </c>
      <c r="L144" s="12">
        <v>5.1102075200000003</v>
      </c>
      <c r="M144" s="12">
        <v>26.406575697000001</v>
      </c>
      <c r="N144" s="12">
        <v>612.70340067327197</v>
      </c>
      <c r="O144" s="12" t="s">
        <v>333</v>
      </c>
      <c r="P144" s="12">
        <v>75</v>
      </c>
      <c r="Q144" s="12">
        <v>37</v>
      </c>
      <c r="S144" s="12">
        <v>92.8702068328857</v>
      </c>
      <c r="T144">
        <f t="shared" si="5"/>
        <v>-8.9918301105493015</v>
      </c>
    </row>
    <row r="145" spans="1:20" x14ac:dyDescent="0.2">
      <c r="A145" s="11" t="s">
        <v>608</v>
      </c>
      <c r="B145" s="12" t="s">
        <v>34</v>
      </c>
      <c r="C145" s="12" t="s">
        <v>154</v>
      </c>
      <c r="D145" s="12">
        <v>30</v>
      </c>
      <c r="E145" s="12">
        <v>4</v>
      </c>
      <c r="F145" s="12">
        <v>2</v>
      </c>
      <c r="G145" s="12">
        <v>7</v>
      </c>
      <c r="H145" s="12">
        <v>61.2314128875732</v>
      </c>
      <c r="I145" s="12">
        <v>5.704782292</v>
      </c>
      <c r="J145" s="12">
        <v>55.526630595573202</v>
      </c>
      <c r="K145" s="12">
        <v>11.797433653000001</v>
      </c>
      <c r="L145" s="12">
        <v>3.7341776719999999</v>
      </c>
      <c r="M145" s="12">
        <v>44.250449510000003</v>
      </c>
      <c r="N145" s="12">
        <v>621.45718929618897</v>
      </c>
      <c r="O145" s="12" t="s">
        <v>333</v>
      </c>
      <c r="P145" s="12">
        <v>219</v>
      </c>
      <c r="Q145" s="12">
        <v>267</v>
      </c>
      <c r="S145" s="12">
        <v>62.907639026641803</v>
      </c>
      <c r="T145">
        <f t="shared" si="5"/>
        <v>1.6762261390686035</v>
      </c>
    </row>
    <row r="146" spans="1:20" x14ac:dyDescent="0.2">
      <c r="A146" s="11" t="s">
        <v>612</v>
      </c>
      <c r="B146" s="12" t="s">
        <v>34</v>
      </c>
      <c r="C146" s="12" t="s">
        <v>155</v>
      </c>
      <c r="D146" s="12">
        <v>30</v>
      </c>
      <c r="E146" s="12">
        <v>7</v>
      </c>
      <c r="F146" s="12">
        <v>4</v>
      </c>
      <c r="G146" s="12">
        <v>6</v>
      </c>
      <c r="H146" s="12">
        <v>163.522442102432</v>
      </c>
      <c r="I146" s="12">
        <v>5.6960720909999996</v>
      </c>
      <c r="J146" s="12">
        <v>157.826370011432</v>
      </c>
      <c r="K146" s="12">
        <v>13.829096764000001</v>
      </c>
      <c r="L146" s="12">
        <v>10.017569376999999</v>
      </c>
      <c r="M146" s="12">
        <v>138.202453195</v>
      </c>
      <c r="N146" s="12">
        <v>563.88103420386096</v>
      </c>
      <c r="O146" s="12" t="s">
        <v>333</v>
      </c>
      <c r="P146" s="12">
        <v>481</v>
      </c>
      <c r="Q146" s="12">
        <v>107</v>
      </c>
      <c r="S146" s="12">
        <v>58.8020629882812</v>
      </c>
      <c r="T146">
        <f t="shared" si="5"/>
        <v>-104.7203791141508</v>
      </c>
    </row>
    <row r="147" spans="1:20" x14ac:dyDescent="0.2">
      <c r="A147" s="11" t="s">
        <v>616</v>
      </c>
      <c r="B147" s="12" t="s">
        <v>34</v>
      </c>
      <c r="C147" s="12" t="s">
        <v>156</v>
      </c>
      <c r="D147" s="12">
        <v>30</v>
      </c>
      <c r="E147" s="12">
        <v>9</v>
      </c>
      <c r="F147" s="12">
        <v>5</v>
      </c>
      <c r="G147" s="12">
        <v>6</v>
      </c>
      <c r="H147" s="12">
        <v>89.154308080673204</v>
      </c>
      <c r="I147" s="12">
        <v>5.5392333489999999</v>
      </c>
      <c r="J147" s="12">
        <v>83.615074731673204</v>
      </c>
      <c r="K147" s="12">
        <v>78.033509344999999</v>
      </c>
      <c r="L147" s="12">
        <v>3.9411507590000001</v>
      </c>
      <c r="M147" s="12">
        <v>5.6893812429999997</v>
      </c>
      <c r="N147" s="12">
        <v>595.127286908256</v>
      </c>
      <c r="O147" s="12" t="s">
        <v>333</v>
      </c>
      <c r="P147" s="12">
        <v>5</v>
      </c>
      <c r="Q147" s="12">
        <v>5</v>
      </c>
      <c r="S147" s="12">
        <v>89.995103836059499</v>
      </c>
      <c r="T147">
        <f t="shared" si="5"/>
        <v>0.8407957553862957</v>
      </c>
    </row>
    <row r="148" spans="1:20" x14ac:dyDescent="0.2">
      <c r="A148" s="11" t="s">
        <v>620</v>
      </c>
      <c r="B148" s="12" t="s">
        <v>34</v>
      </c>
      <c r="C148" s="12" t="s">
        <v>157</v>
      </c>
      <c r="D148" s="12">
        <v>30</v>
      </c>
      <c r="E148" s="12">
        <v>4</v>
      </c>
      <c r="F148" s="12">
        <v>2</v>
      </c>
      <c r="G148" s="12">
        <v>7</v>
      </c>
      <c r="H148" s="12">
        <v>28.504464864730799</v>
      </c>
      <c r="I148" s="12">
        <v>5.562401157</v>
      </c>
      <c r="J148" s="12">
        <v>22.942063707730799</v>
      </c>
      <c r="K148" s="12">
        <v>11.588957191</v>
      </c>
      <c r="L148" s="12">
        <v>4.1055697660000003</v>
      </c>
      <c r="M148" s="12">
        <v>11.399030115</v>
      </c>
      <c r="N148" s="12">
        <v>601.56933214826802</v>
      </c>
      <c r="O148" s="12" t="s">
        <v>333</v>
      </c>
      <c r="P148" s="12">
        <v>43</v>
      </c>
      <c r="Q148" s="12">
        <v>55</v>
      </c>
      <c r="S148" s="12">
        <v>29.553823947906402</v>
      </c>
      <c r="T148">
        <f t="shared" si="5"/>
        <v>1.0493590831756023</v>
      </c>
    </row>
    <row r="149" spans="1:20" x14ac:dyDescent="0.2">
      <c r="A149" s="11" t="s">
        <v>624</v>
      </c>
      <c r="B149" s="12" t="s">
        <v>34</v>
      </c>
      <c r="C149" s="12" t="s">
        <v>158</v>
      </c>
      <c r="D149" s="12">
        <v>30</v>
      </c>
      <c r="E149" s="12">
        <v>7</v>
      </c>
      <c r="F149" s="12">
        <v>4</v>
      </c>
      <c r="G149" s="12">
        <v>6</v>
      </c>
      <c r="H149" s="12">
        <v>28.847770929336502</v>
      </c>
      <c r="I149" s="12">
        <v>5.5442034159999896</v>
      </c>
      <c r="J149" s="12">
        <v>23.3035675133365</v>
      </c>
      <c r="K149" s="12">
        <v>13.251639296</v>
      </c>
      <c r="L149" s="12">
        <v>5.0213178789999997</v>
      </c>
      <c r="M149" s="12">
        <v>9.1384070000000008</v>
      </c>
      <c r="N149" s="12">
        <v>562.42026347771503</v>
      </c>
      <c r="O149" s="12" t="s">
        <v>333</v>
      </c>
      <c r="P149" s="12">
        <v>15</v>
      </c>
      <c r="Q149" s="12">
        <v>619</v>
      </c>
      <c r="S149" s="12">
        <v>181.85321402549701</v>
      </c>
      <c r="T149">
        <f t="shared" si="5"/>
        <v>153.00544309616052</v>
      </c>
    </row>
    <row r="150" spans="1:20" x14ac:dyDescent="0.2">
      <c r="A150" s="11" t="s">
        <v>628</v>
      </c>
      <c r="B150" s="12" t="s">
        <v>34</v>
      </c>
      <c r="C150" s="12" t="s">
        <v>159</v>
      </c>
      <c r="D150" s="12">
        <v>30</v>
      </c>
      <c r="E150" s="12">
        <v>9</v>
      </c>
      <c r="F150" s="12">
        <v>5</v>
      </c>
      <c r="G150" s="12">
        <v>5</v>
      </c>
      <c r="H150" s="12">
        <v>141.95301699638301</v>
      </c>
      <c r="I150" s="12">
        <v>5.7129085669999897</v>
      </c>
      <c r="J150" s="12">
        <v>136.24010842938301</v>
      </c>
      <c r="K150" s="12">
        <v>64.838794628000002</v>
      </c>
      <c r="L150" s="12">
        <v>75.595145262000003</v>
      </c>
      <c r="M150" s="12">
        <v>1.4464572E-2</v>
      </c>
      <c r="N150" s="12">
        <v>583.76259724559895</v>
      </c>
      <c r="O150" s="12" t="s">
        <v>333</v>
      </c>
      <c r="P150" s="12">
        <v>180</v>
      </c>
      <c r="Q150" s="12">
        <v>180</v>
      </c>
      <c r="S150" s="12">
        <v>137.69729804992599</v>
      </c>
      <c r="T150">
        <f t="shared" si="5"/>
        <v>-4.2557189464570229</v>
      </c>
    </row>
    <row r="151" spans="1:20" x14ac:dyDescent="0.2">
      <c r="A151" s="11" t="s">
        <v>632</v>
      </c>
      <c r="B151" s="12" t="s">
        <v>34</v>
      </c>
      <c r="C151" s="12" t="s">
        <v>161</v>
      </c>
      <c r="D151" s="12">
        <v>30</v>
      </c>
      <c r="E151" s="12">
        <v>4</v>
      </c>
      <c r="F151" s="12">
        <v>2</v>
      </c>
      <c r="G151" s="12">
        <v>6</v>
      </c>
      <c r="H151" s="12">
        <v>42.9338250160217</v>
      </c>
      <c r="I151" s="12">
        <v>5.7070567910000003</v>
      </c>
      <c r="J151" s="12">
        <v>37.226768225021701</v>
      </c>
      <c r="K151" s="12">
        <v>11.872200454</v>
      </c>
      <c r="L151" s="12">
        <v>5.8620453250000004</v>
      </c>
      <c r="M151" s="12">
        <v>23.750162475</v>
      </c>
      <c r="N151" s="12">
        <v>580.46824533446795</v>
      </c>
      <c r="O151" s="12" t="s">
        <v>333</v>
      </c>
      <c r="P151" s="12">
        <v>91</v>
      </c>
      <c r="Q151" s="12">
        <v>103</v>
      </c>
      <c r="S151" s="12">
        <v>44.0742440223693</v>
      </c>
      <c r="T151">
        <f t="shared" si="5"/>
        <v>1.1404190063475994</v>
      </c>
    </row>
    <row r="152" spans="1:20" x14ac:dyDescent="0.2">
      <c r="A152" s="11" t="s">
        <v>636</v>
      </c>
      <c r="B152" s="12" t="s">
        <v>34</v>
      </c>
      <c r="C152" s="12" t="s">
        <v>162</v>
      </c>
      <c r="D152" s="12">
        <v>30</v>
      </c>
      <c r="E152" s="12">
        <v>7</v>
      </c>
      <c r="F152" s="12">
        <v>4</v>
      </c>
      <c r="G152" s="12">
        <v>6</v>
      </c>
      <c r="H152" s="12">
        <v>40.237365961074801</v>
      </c>
      <c r="I152" s="12">
        <v>5.710125702</v>
      </c>
      <c r="J152" s="12">
        <v>34.527240259074802</v>
      </c>
      <c r="K152" s="12">
        <v>13.932121272</v>
      </c>
      <c r="L152" s="12">
        <v>3.7222226840000001</v>
      </c>
      <c r="M152" s="12">
        <v>21.118261411999999</v>
      </c>
      <c r="N152" s="12">
        <v>523.21459560677499</v>
      </c>
      <c r="O152" s="12" t="s">
        <v>333</v>
      </c>
      <c r="P152" s="12">
        <v>95</v>
      </c>
      <c r="Q152" s="12">
        <v>61</v>
      </c>
      <c r="S152" s="12">
        <v>34.634917974472003</v>
      </c>
      <c r="T152">
        <f t="shared" si="5"/>
        <v>-5.6024479866027974</v>
      </c>
    </row>
    <row r="153" spans="1:20" x14ac:dyDescent="0.2">
      <c r="A153" s="11" t="s">
        <v>640</v>
      </c>
      <c r="B153" s="12" t="s">
        <v>34</v>
      </c>
      <c r="C153" s="12" t="s">
        <v>163</v>
      </c>
      <c r="D153" s="12">
        <v>30</v>
      </c>
      <c r="E153" s="12">
        <v>9</v>
      </c>
      <c r="F153" s="12">
        <v>5</v>
      </c>
      <c r="G153" s="12">
        <v>6</v>
      </c>
      <c r="H153" s="12">
        <v>115.64708995818999</v>
      </c>
      <c r="I153" s="12">
        <v>5.7015022909999997</v>
      </c>
      <c r="J153" s="12">
        <v>109.94558766719</v>
      </c>
      <c r="K153" s="12">
        <v>71.301308018</v>
      </c>
      <c r="L153" s="12">
        <v>6.8483674609999996</v>
      </c>
      <c r="M153" s="12">
        <v>35.978024189000003</v>
      </c>
      <c r="N153" s="12">
        <v>543.334772706948</v>
      </c>
      <c r="O153" s="12" t="s">
        <v>333</v>
      </c>
      <c r="P153" s="12">
        <v>59</v>
      </c>
      <c r="Q153" s="12">
        <v>31</v>
      </c>
      <c r="S153" s="12">
        <v>96.172709941863999</v>
      </c>
      <c r="T153">
        <f t="shared" si="5"/>
        <v>-19.474380016325995</v>
      </c>
    </row>
    <row r="154" spans="1:20" x14ac:dyDescent="0.2">
      <c r="A154" s="11" t="s">
        <v>644</v>
      </c>
      <c r="B154" s="12" t="s">
        <v>34</v>
      </c>
      <c r="C154" s="12" t="s">
        <v>164</v>
      </c>
      <c r="D154" s="12">
        <v>30</v>
      </c>
      <c r="E154" s="12">
        <v>4</v>
      </c>
      <c r="F154" s="12">
        <v>2</v>
      </c>
      <c r="G154" s="12">
        <v>6</v>
      </c>
      <c r="H154" s="12">
        <v>870.96716213226296</v>
      </c>
      <c r="I154" s="12">
        <v>5.5735927859999999</v>
      </c>
      <c r="J154" s="12">
        <v>865.39356934626301</v>
      </c>
      <c r="K154" s="12">
        <v>11.600403775</v>
      </c>
      <c r="L154" s="12">
        <v>10.421732560000001</v>
      </c>
      <c r="M154" s="12">
        <v>847.53368401499995</v>
      </c>
      <c r="N154" s="12">
        <v>548.77752458700695</v>
      </c>
      <c r="O154" s="12" t="s">
        <v>333</v>
      </c>
      <c r="P154" s="12">
        <v>2234</v>
      </c>
      <c r="Q154" s="12">
        <v>1524</v>
      </c>
      <c r="S154" s="12">
        <v>465.13652110099702</v>
      </c>
      <c r="T154">
        <f t="shared" si="5"/>
        <v>-405.83064103126594</v>
      </c>
    </row>
    <row r="155" spans="1:20" x14ac:dyDescent="0.2">
      <c r="A155" s="11" t="s">
        <v>648</v>
      </c>
      <c r="B155" s="12" t="s">
        <v>34</v>
      </c>
      <c r="C155" s="12" t="s">
        <v>165</v>
      </c>
      <c r="D155" s="12">
        <v>30</v>
      </c>
      <c r="E155" s="12">
        <v>7</v>
      </c>
      <c r="F155" s="12">
        <v>4</v>
      </c>
      <c r="G155" s="12">
        <v>7</v>
      </c>
      <c r="H155" s="12">
        <v>42.762778997421201</v>
      </c>
      <c r="I155" s="12">
        <v>5.5428969539999997</v>
      </c>
      <c r="J155" s="12">
        <v>37.219882043421201</v>
      </c>
      <c r="K155" s="12">
        <v>13.834094586000001</v>
      </c>
      <c r="L155" s="12">
        <v>4.6398063330000001</v>
      </c>
      <c r="M155" s="12">
        <v>22.852828757000001</v>
      </c>
      <c r="N155" s="12">
        <v>563.31508522102502</v>
      </c>
      <c r="O155" s="12" t="s">
        <v>333</v>
      </c>
      <c r="P155" s="12">
        <v>75</v>
      </c>
      <c r="Q155" s="12">
        <v>13</v>
      </c>
      <c r="S155" s="12">
        <v>29.5088098049163</v>
      </c>
      <c r="T155">
        <f t="shared" si="5"/>
        <v>-13.253969192504901</v>
      </c>
    </row>
    <row r="156" spans="1:20" x14ac:dyDescent="0.2">
      <c r="A156" s="11" t="s">
        <v>652</v>
      </c>
      <c r="B156" s="12" t="s">
        <v>34</v>
      </c>
      <c r="C156" s="12" t="s">
        <v>167</v>
      </c>
      <c r="D156" s="12">
        <v>30</v>
      </c>
      <c r="E156" s="12">
        <v>9</v>
      </c>
      <c r="F156" s="12">
        <v>5</v>
      </c>
      <c r="G156" s="12">
        <v>6</v>
      </c>
      <c r="H156" s="12">
        <v>280.42425704002301</v>
      </c>
      <c r="I156" s="12">
        <v>5.7267019860000001</v>
      </c>
      <c r="J156" s="12">
        <v>274.69755505402298</v>
      </c>
      <c r="K156" s="12">
        <v>71.154180002000004</v>
      </c>
      <c r="L156" s="12">
        <v>27.617120221</v>
      </c>
      <c r="M156" s="12">
        <v>180.14746640499999</v>
      </c>
      <c r="N156" s="12">
        <v>584.75837755116697</v>
      </c>
      <c r="O156" s="12" t="s">
        <v>333</v>
      </c>
      <c r="P156" s="12">
        <v>425</v>
      </c>
      <c r="Q156" s="12">
        <v>569</v>
      </c>
      <c r="S156" s="12">
        <v>264.229713916778</v>
      </c>
      <c r="T156">
        <f t="shared" si="5"/>
        <v>-16.194543123245012</v>
      </c>
    </row>
    <row r="157" spans="1:20" x14ac:dyDescent="0.2">
      <c r="A157" s="11" t="s">
        <v>655</v>
      </c>
      <c r="B157" s="12" t="s">
        <v>34</v>
      </c>
      <c r="C157" s="12" t="s">
        <v>168</v>
      </c>
      <c r="D157" s="12">
        <v>30</v>
      </c>
      <c r="E157" s="12">
        <v>4</v>
      </c>
      <c r="F157" s="12">
        <v>2</v>
      </c>
      <c r="G157" s="12">
        <v>7</v>
      </c>
      <c r="H157" s="12">
        <v>46.7353579998016</v>
      </c>
      <c r="I157" s="12">
        <v>5.6968111029999999</v>
      </c>
      <c r="J157" s="12">
        <v>41.038546896801599</v>
      </c>
      <c r="K157" s="12">
        <v>11.817494639</v>
      </c>
      <c r="L157" s="12">
        <v>4.5298442110000003</v>
      </c>
      <c r="M157" s="12">
        <v>28.942165632999998</v>
      </c>
      <c r="N157" s="12">
        <v>594.34685666145504</v>
      </c>
      <c r="O157" s="12" t="s">
        <v>333</v>
      </c>
      <c r="P157" s="12">
        <v>119</v>
      </c>
      <c r="Q157" s="12">
        <v>77</v>
      </c>
      <c r="S157" s="12">
        <v>39.998400926589902</v>
      </c>
      <c r="T157">
        <f t="shared" si="5"/>
        <v>-6.7369570732116983</v>
      </c>
    </row>
    <row r="158" spans="1:20" x14ac:dyDescent="0.2">
      <c r="A158" s="11" t="s">
        <v>659</v>
      </c>
      <c r="B158" s="12" t="s">
        <v>34</v>
      </c>
      <c r="C158" s="12" t="s">
        <v>170</v>
      </c>
      <c r="D158" s="12">
        <v>30</v>
      </c>
      <c r="E158" s="12">
        <v>7</v>
      </c>
      <c r="F158" s="12">
        <v>4</v>
      </c>
      <c r="G158" s="12">
        <v>6</v>
      </c>
      <c r="H158" s="12">
        <v>31.4546570777893</v>
      </c>
      <c r="I158" s="12">
        <v>5.5778959109999997</v>
      </c>
      <c r="J158" s="12">
        <v>25.876761166789301</v>
      </c>
      <c r="K158" s="12">
        <v>13.668093872</v>
      </c>
      <c r="L158" s="12">
        <v>7.3289858539999901</v>
      </c>
      <c r="M158" s="12">
        <v>9.0145394450000005</v>
      </c>
      <c r="N158" s="12">
        <v>557.62237018224505</v>
      </c>
      <c r="O158" s="12" t="s">
        <v>333</v>
      </c>
      <c r="P158" s="12">
        <v>18</v>
      </c>
      <c r="Q158" s="12">
        <v>12</v>
      </c>
      <c r="S158" s="12">
        <v>29.909238815307599</v>
      </c>
      <c r="T158">
        <f t="shared" si="5"/>
        <v>-1.5454182624817001</v>
      </c>
    </row>
    <row r="159" spans="1:20" x14ac:dyDescent="0.2">
      <c r="A159" s="11" t="s">
        <v>663</v>
      </c>
      <c r="B159" s="12" t="s">
        <v>34</v>
      </c>
      <c r="C159" s="12" t="s">
        <v>171</v>
      </c>
      <c r="D159" s="12">
        <v>30</v>
      </c>
      <c r="E159" s="12">
        <v>9</v>
      </c>
      <c r="F159" s="12">
        <v>5</v>
      </c>
      <c r="G159" s="12">
        <v>6</v>
      </c>
      <c r="H159" s="12">
        <v>116.379161119461</v>
      </c>
      <c r="I159" s="12">
        <v>5.7071696899999997</v>
      </c>
      <c r="J159" s="12">
        <v>110.671991429461</v>
      </c>
      <c r="K159" s="12">
        <v>75.091599277</v>
      </c>
      <c r="L159" s="12">
        <v>39.769422584999901</v>
      </c>
      <c r="M159" s="12">
        <v>1.3512224999999999E-2</v>
      </c>
      <c r="N159" s="12">
        <v>599.36868580408805</v>
      </c>
      <c r="O159" s="12" t="s">
        <v>333</v>
      </c>
      <c r="P159" s="12">
        <v>68</v>
      </c>
      <c r="Q159" s="12">
        <v>68</v>
      </c>
      <c r="S159" s="12">
        <v>116.177479982376</v>
      </c>
      <c r="T159">
        <f t="shared" si="5"/>
        <v>-0.20168113708500357</v>
      </c>
    </row>
    <row r="160" spans="1:20" x14ac:dyDescent="0.2">
      <c r="A160" s="11" t="s">
        <v>667</v>
      </c>
      <c r="B160" s="12" t="s">
        <v>34</v>
      </c>
      <c r="C160" s="12" t="s">
        <v>172</v>
      </c>
      <c r="D160" s="12">
        <v>30</v>
      </c>
      <c r="E160" s="12">
        <v>4</v>
      </c>
      <c r="F160" s="12">
        <v>2</v>
      </c>
      <c r="G160" s="12">
        <v>7</v>
      </c>
      <c r="H160" s="12">
        <v>49.100930929183903</v>
      </c>
      <c r="I160" s="12">
        <v>5.5398921379999999</v>
      </c>
      <c r="J160" s="12">
        <v>43.561038791183897</v>
      </c>
      <c r="K160" s="12">
        <v>11.508184934999999</v>
      </c>
      <c r="L160" s="12">
        <v>8.2668590229999896</v>
      </c>
      <c r="M160" s="12">
        <v>27.915604446</v>
      </c>
      <c r="N160" s="12">
        <v>585.99256243495597</v>
      </c>
      <c r="O160" s="12" t="s">
        <v>333</v>
      </c>
      <c r="P160" s="12">
        <v>61</v>
      </c>
      <c r="Q160" s="12">
        <v>103</v>
      </c>
      <c r="S160" s="12">
        <v>57.072458028793299</v>
      </c>
      <c r="T160">
        <f t="shared" si="5"/>
        <v>7.9715270996093963</v>
      </c>
    </row>
    <row r="161" spans="1:20" x14ac:dyDescent="0.2">
      <c r="A161" s="11" t="s">
        <v>671</v>
      </c>
      <c r="B161" s="12" t="s">
        <v>34</v>
      </c>
      <c r="C161" s="12" t="s">
        <v>174</v>
      </c>
      <c r="D161" s="12">
        <v>30</v>
      </c>
      <c r="E161" s="12">
        <v>7</v>
      </c>
      <c r="F161" s="12">
        <v>4</v>
      </c>
      <c r="G161" s="12">
        <v>6</v>
      </c>
      <c r="H161" s="12">
        <v>130.36685585975599</v>
      </c>
      <c r="I161" s="12">
        <v>5.5799689570000002</v>
      </c>
      <c r="J161" s="12">
        <v>124.786886902756</v>
      </c>
      <c r="K161" s="12">
        <v>13.685464138</v>
      </c>
      <c r="L161" s="12">
        <v>4.7829113659999898</v>
      </c>
      <c r="M161" s="12">
        <v>110.45078471799999</v>
      </c>
      <c r="N161" s="12">
        <v>583.63667587560701</v>
      </c>
      <c r="O161" s="12" t="s">
        <v>333</v>
      </c>
      <c r="P161" s="12">
        <v>423</v>
      </c>
      <c r="Q161" s="12">
        <v>77</v>
      </c>
      <c r="S161" s="12">
        <v>43.952036857604902</v>
      </c>
      <c r="T161">
        <f t="shared" si="5"/>
        <v>-86.414819002151091</v>
      </c>
    </row>
    <row r="162" spans="1:20" x14ac:dyDescent="0.2">
      <c r="A162" s="11" t="s">
        <v>675</v>
      </c>
      <c r="B162" s="12" t="s">
        <v>34</v>
      </c>
      <c r="C162" s="12" t="s">
        <v>175</v>
      </c>
      <c r="D162" s="12">
        <v>30</v>
      </c>
      <c r="E162" s="12">
        <v>9</v>
      </c>
      <c r="F162" s="12">
        <v>5</v>
      </c>
      <c r="G162" s="12">
        <v>6</v>
      </c>
      <c r="H162" s="12">
        <v>127.963330030441</v>
      </c>
      <c r="I162" s="12">
        <v>5.7520029519999998</v>
      </c>
      <c r="J162" s="12">
        <v>122.211327078441</v>
      </c>
      <c r="K162" s="12">
        <v>79.210818574000001</v>
      </c>
      <c r="L162" s="12">
        <v>15.083975881999899</v>
      </c>
      <c r="M162" s="12">
        <v>32.199596276999998</v>
      </c>
      <c r="N162" s="12">
        <v>579.09016070697101</v>
      </c>
      <c r="O162" s="12" t="s">
        <v>333</v>
      </c>
      <c r="P162" s="12">
        <v>23</v>
      </c>
      <c r="Q162" s="12">
        <v>25</v>
      </c>
      <c r="S162" s="12">
        <v>115.184706926345</v>
      </c>
      <c r="T162">
        <f t="shared" si="5"/>
        <v>-12.778623104095999</v>
      </c>
    </row>
    <row r="163" spans="1:20" x14ac:dyDescent="0.2">
      <c r="A163" s="11" t="s">
        <v>679</v>
      </c>
      <c r="B163" s="12" t="s">
        <v>34</v>
      </c>
      <c r="C163" s="12" t="s">
        <v>176</v>
      </c>
      <c r="D163" s="12">
        <v>30</v>
      </c>
      <c r="E163" s="12">
        <v>4</v>
      </c>
      <c r="F163" s="12">
        <v>2</v>
      </c>
      <c r="G163" s="12">
        <v>8</v>
      </c>
      <c r="H163" s="12">
        <v>32.969000816345201</v>
      </c>
      <c r="I163" s="12">
        <v>5.6995739470000002</v>
      </c>
      <c r="J163" s="12">
        <v>27.2694268693452</v>
      </c>
      <c r="K163" s="12">
        <v>11.824280528999999</v>
      </c>
      <c r="L163" s="12">
        <v>4.6566236779999999</v>
      </c>
      <c r="M163" s="12">
        <v>15.040775246999999</v>
      </c>
      <c r="N163" s="12">
        <v>574.24204541515599</v>
      </c>
      <c r="O163" s="12" t="s">
        <v>333</v>
      </c>
      <c r="P163" s="12">
        <v>47</v>
      </c>
      <c r="Q163" s="12">
        <v>63</v>
      </c>
      <c r="S163" s="12">
        <v>35.469712018966597</v>
      </c>
      <c r="T163">
        <f t="shared" si="5"/>
        <v>2.500711202621396</v>
      </c>
    </row>
    <row r="164" spans="1:20" x14ac:dyDescent="0.2">
      <c r="A164" s="11" t="s">
        <v>682</v>
      </c>
      <c r="B164" s="12" t="s">
        <v>34</v>
      </c>
      <c r="C164" s="12" t="s">
        <v>177</v>
      </c>
      <c r="D164" s="12">
        <v>30</v>
      </c>
      <c r="E164" s="12">
        <v>7</v>
      </c>
      <c r="F164" s="12">
        <v>4</v>
      </c>
      <c r="G164" s="12">
        <v>6</v>
      </c>
      <c r="H164" s="12">
        <v>45.715802907943697</v>
      </c>
      <c r="I164" s="12">
        <v>5.7078753879999997</v>
      </c>
      <c r="J164" s="12">
        <v>40.007927519943699</v>
      </c>
      <c r="K164" s="12">
        <v>13.596780485</v>
      </c>
      <c r="L164" s="12">
        <v>5.9504020080000002</v>
      </c>
      <c r="M164" s="12">
        <v>24.697590810000001</v>
      </c>
      <c r="N164" s="12">
        <v>542.67434682730698</v>
      </c>
      <c r="O164" s="12" t="s">
        <v>333</v>
      </c>
      <c r="P164" s="12">
        <v>59</v>
      </c>
      <c r="Q164" s="12">
        <v>197</v>
      </c>
      <c r="S164" s="12">
        <v>89.892263889312702</v>
      </c>
      <c r="T164">
        <f t="shared" si="5"/>
        <v>44.176460981369004</v>
      </c>
    </row>
    <row r="165" spans="1:20" x14ac:dyDescent="0.2">
      <c r="A165" s="11" t="s">
        <v>686</v>
      </c>
      <c r="B165" s="12" t="s">
        <v>34</v>
      </c>
      <c r="C165" s="12" t="s">
        <v>179</v>
      </c>
      <c r="D165" s="12">
        <v>30</v>
      </c>
      <c r="E165" s="12">
        <v>9</v>
      </c>
      <c r="F165" s="12">
        <v>5</v>
      </c>
      <c r="G165" s="12">
        <v>6</v>
      </c>
      <c r="H165" s="12">
        <v>439.759578943252</v>
      </c>
      <c r="I165" s="12">
        <v>5.6949536819999897</v>
      </c>
      <c r="J165" s="12">
        <v>434.06462526125199</v>
      </c>
      <c r="K165" s="12">
        <v>66.82968778</v>
      </c>
      <c r="L165" s="12">
        <v>48.513002</v>
      </c>
      <c r="M165" s="12">
        <v>322.93929435000001</v>
      </c>
      <c r="N165" s="12">
        <v>544.52084232311404</v>
      </c>
      <c r="O165" s="12" t="s">
        <v>333</v>
      </c>
      <c r="P165" s="12">
        <v>91</v>
      </c>
      <c r="Q165" s="12">
        <v>27</v>
      </c>
      <c r="S165" s="12">
        <v>142.281534910202</v>
      </c>
      <c r="T165">
        <f t="shared" si="5"/>
        <v>-297.47804403304997</v>
      </c>
    </row>
    <row r="166" spans="1:20" x14ac:dyDescent="0.2">
      <c r="A166" s="11" t="s">
        <v>690</v>
      </c>
      <c r="B166" s="12" t="s">
        <v>34</v>
      </c>
      <c r="C166" s="12" t="s">
        <v>180</v>
      </c>
      <c r="D166" s="12">
        <v>30</v>
      </c>
      <c r="E166" s="12">
        <v>4</v>
      </c>
      <c r="F166" s="12">
        <v>2</v>
      </c>
      <c r="G166" s="12">
        <v>7</v>
      </c>
      <c r="H166" s="12">
        <v>35.559132814407299</v>
      </c>
      <c r="I166" s="12">
        <v>5.5470397309999999</v>
      </c>
      <c r="J166" s="12">
        <v>30.012093083407301</v>
      </c>
      <c r="K166" s="12">
        <v>11.580430628</v>
      </c>
      <c r="L166" s="12">
        <v>6.5631971399999998</v>
      </c>
      <c r="M166" s="12">
        <v>16.008321768999998</v>
      </c>
      <c r="N166" s="12">
        <v>581.37177342504503</v>
      </c>
      <c r="O166" s="12" t="s">
        <v>333</v>
      </c>
      <c r="P166" s="12">
        <v>39</v>
      </c>
      <c r="Q166" s="12">
        <v>93</v>
      </c>
      <c r="S166" s="12">
        <v>47.554268121719304</v>
      </c>
      <c r="T166">
        <f t="shared" si="5"/>
        <v>11.995135307312005</v>
      </c>
    </row>
    <row r="167" spans="1:20" x14ac:dyDescent="0.2">
      <c r="A167" s="11" t="s">
        <v>694</v>
      </c>
      <c r="B167" s="12" t="s">
        <v>34</v>
      </c>
      <c r="C167" s="12" t="s">
        <v>182</v>
      </c>
      <c r="D167" s="12">
        <v>30</v>
      </c>
      <c r="E167" s="12">
        <v>7</v>
      </c>
      <c r="F167" s="12">
        <v>4</v>
      </c>
      <c r="G167" s="12">
        <v>5</v>
      </c>
      <c r="H167" s="12">
        <v>97.254945993423405</v>
      </c>
      <c r="I167" s="12">
        <v>5.6625444490000003</v>
      </c>
      <c r="J167" s="12">
        <v>91.592401544423396</v>
      </c>
      <c r="K167" s="12">
        <v>13.527692697000001</v>
      </c>
      <c r="L167" s="12">
        <v>5.4185588349999998</v>
      </c>
      <c r="M167" s="12">
        <v>76.877211485999993</v>
      </c>
      <c r="N167" s="12">
        <v>466.675332194129</v>
      </c>
      <c r="O167" s="12" t="s">
        <v>333</v>
      </c>
      <c r="P167" s="12">
        <v>191</v>
      </c>
      <c r="Q167" s="12">
        <v>339</v>
      </c>
      <c r="S167" s="12">
        <v>133.66758894920301</v>
      </c>
      <c r="T167">
        <f t="shared" si="5"/>
        <v>36.412642955779603</v>
      </c>
    </row>
    <row r="168" spans="1:20" x14ac:dyDescent="0.2">
      <c r="A168" s="11" t="s">
        <v>698</v>
      </c>
      <c r="B168" s="12" t="s">
        <v>34</v>
      </c>
      <c r="C168" s="12" t="s">
        <v>183</v>
      </c>
      <c r="D168" s="12">
        <v>30</v>
      </c>
      <c r="E168" s="12">
        <v>9</v>
      </c>
      <c r="F168" s="12">
        <v>5</v>
      </c>
      <c r="G168" s="12">
        <v>5</v>
      </c>
      <c r="H168" s="12">
        <v>156.008171796798</v>
      </c>
      <c r="I168" s="12">
        <v>5.7600237490000001</v>
      </c>
      <c r="J168" s="12">
        <v>150.248148047798</v>
      </c>
      <c r="K168" s="12">
        <v>68.268286330999999</v>
      </c>
      <c r="L168" s="12">
        <v>31.781193106999901</v>
      </c>
      <c r="M168" s="12">
        <v>54.452204016000003</v>
      </c>
      <c r="N168" s="12">
        <v>500.72101593529601</v>
      </c>
      <c r="O168" s="12" t="s">
        <v>333</v>
      </c>
      <c r="P168" s="12">
        <v>65</v>
      </c>
      <c r="Q168" s="12">
        <v>33</v>
      </c>
      <c r="S168" s="12">
        <v>122.28098511695801</v>
      </c>
      <c r="T168">
        <f t="shared" si="5"/>
        <v>-33.727186679839988</v>
      </c>
    </row>
    <row r="169" spans="1:20" x14ac:dyDescent="0.2">
      <c r="A169" s="11" t="s">
        <v>702</v>
      </c>
      <c r="B169" s="12" t="s">
        <v>34</v>
      </c>
      <c r="C169" s="12" t="s">
        <v>184</v>
      </c>
      <c r="D169" s="12">
        <v>30</v>
      </c>
      <c r="E169" s="12">
        <v>4</v>
      </c>
      <c r="F169" s="12">
        <v>2</v>
      </c>
      <c r="G169" s="12">
        <v>6</v>
      </c>
      <c r="H169" s="12">
        <v>26.3737390041351</v>
      </c>
      <c r="I169" s="12">
        <v>5.6427277910000004</v>
      </c>
      <c r="J169" s="12">
        <v>20.731011213135101</v>
      </c>
      <c r="K169" s="12">
        <v>11.648986248</v>
      </c>
      <c r="L169" s="12">
        <v>8.0943237809999999</v>
      </c>
      <c r="M169" s="12">
        <v>5.1863781969999998</v>
      </c>
      <c r="N169" s="12">
        <v>556.11062249922998</v>
      </c>
      <c r="O169" s="12" t="s">
        <v>333</v>
      </c>
      <c r="P169" s="12">
        <v>6</v>
      </c>
      <c r="Q169" s="12">
        <v>10</v>
      </c>
      <c r="S169" s="12">
        <v>28.1232330799102</v>
      </c>
      <c r="T169">
        <f t="shared" si="5"/>
        <v>1.7494940757751003</v>
      </c>
    </row>
    <row r="170" spans="1:20" x14ac:dyDescent="0.2">
      <c r="A170" s="11" t="s">
        <v>706</v>
      </c>
      <c r="B170" s="12" t="s">
        <v>34</v>
      </c>
      <c r="C170" s="12" t="s">
        <v>185</v>
      </c>
      <c r="D170" s="12">
        <v>30</v>
      </c>
      <c r="E170" s="12">
        <v>7</v>
      </c>
      <c r="F170" s="12">
        <v>4</v>
      </c>
      <c r="G170" s="12">
        <v>7</v>
      </c>
      <c r="H170" s="12">
        <v>31.460997104644701</v>
      </c>
      <c r="I170" s="12">
        <v>5.5545113070000003</v>
      </c>
      <c r="J170" s="12">
        <v>25.906485797644699</v>
      </c>
      <c r="K170" s="12">
        <v>13.818371585</v>
      </c>
      <c r="L170" s="12">
        <v>3.4517536409999998</v>
      </c>
      <c r="M170" s="12">
        <v>12.752275445</v>
      </c>
      <c r="N170" s="12">
        <v>575.96044097471804</v>
      </c>
      <c r="O170" s="12" t="s">
        <v>333</v>
      </c>
      <c r="P170" s="12">
        <v>35</v>
      </c>
      <c r="Q170" s="12">
        <v>23</v>
      </c>
      <c r="S170" s="12">
        <v>28.5036749839782</v>
      </c>
      <c r="T170">
        <f t="shared" si="5"/>
        <v>-2.9573221206665004</v>
      </c>
    </row>
    <row r="171" spans="1:20" x14ac:dyDescent="0.2">
      <c r="A171" s="11" t="s">
        <v>710</v>
      </c>
      <c r="B171" s="12" t="s">
        <v>34</v>
      </c>
      <c r="C171" s="12" t="s">
        <v>186</v>
      </c>
      <c r="D171" s="12">
        <v>30</v>
      </c>
      <c r="E171" s="12">
        <v>9</v>
      </c>
      <c r="F171" s="12">
        <v>5</v>
      </c>
      <c r="G171" s="12">
        <v>6</v>
      </c>
      <c r="H171" s="12">
        <v>110.68369197845399</v>
      </c>
      <c r="I171" s="12">
        <v>5.7051955339999996</v>
      </c>
      <c r="J171" s="12">
        <v>104.978496444454</v>
      </c>
      <c r="K171" s="12">
        <v>73.108050401</v>
      </c>
      <c r="L171" s="12">
        <v>6.0907859780000004</v>
      </c>
      <c r="M171" s="12">
        <v>30.030270866999999</v>
      </c>
      <c r="N171" s="12">
        <v>617.69920860269997</v>
      </c>
      <c r="O171" s="12" t="s">
        <v>333</v>
      </c>
      <c r="P171" s="12">
        <v>125</v>
      </c>
      <c r="Q171" s="12">
        <v>151</v>
      </c>
      <c r="S171" s="12">
        <v>110.27318692207299</v>
      </c>
      <c r="T171">
        <f t="shared" si="5"/>
        <v>-0.41050505638099821</v>
      </c>
    </row>
    <row r="172" spans="1:20" x14ac:dyDescent="0.2">
      <c r="A172" s="11" t="s">
        <v>714</v>
      </c>
      <c r="B172" s="12" t="s">
        <v>34</v>
      </c>
      <c r="C172" s="12" t="s">
        <v>187</v>
      </c>
      <c r="D172" s="12">
        <v>30</v>
      </c>
      <c r="E172" s="12">
        <v>4</v>
      </c>
      <c r="F172" s="12">
        <v>2</v>
      </c>
      <c r="G172" s="12">
        <v>7</v>
      </c>
      <c r="H172" s="12">
        <v>24.209313869476301</v>
      </c>
      <c r="I172" s="12">
        <v>5.5218786</v>
      </c>
      <c r="J172" s="12">
        <v>18.6874352694763</v>
      </c>
      <c r="K172" s="12">
        <v>11.537757299000001</v>
      </c>
      <c r="L172" s="12">
        <v>4.3579878169999997</v>
      </c>
      <c r="M172" s="12">
        <v>6.9119454749999996</v>
      </c>
      <c r="N172" s="12">
        <v>603.62183296559897</v>
      </c>
      <c r="O172" s="12" t="s">
        <v>333</v>
      </c>
      <c r="P172" s="12">
        <v>11</v>
      </c>
      <c r="Q172" s="12">
        <v>9</v>
      </c>
      <c r="S172" s="12">
        <v>24.373872041702199</v>
      </c>
      <c r="T172">
        <f t="shared" si="5"/>
        <v>0.16455817222589886</v>
      </c>
    </row>
    <row r="173" spans="1:20" x14ac:dyDescent="0.2">
      <c r="A173" s="11" t="s">
        <v>718</v>
      </c>
      <c r="B173" s="12" t="s">
        <v>34</v>
      </c>
      <c r="C173" s="12" t="s">
        <v>188</v>
      </c>
      <c r="D173" s="12">
        <v>30</v>
      </c>
      <c r="E173" s="12">
        <v>7</v>
      </c>
      <c r="F173" s="12">
        <v>4</v>
      </c>
      <c r="G173" s="12">
        <v>6</v>
      </c>
      <c r="H173" s="12">
        <v>30.8483679294586</v>
      </c>
      <c r="I173" s="12">
        <v>5.5800039840000002</v>
      </c>
      <c r="J173" s="12">
        <v>25.268363945458599</v>
      </c>
      <c r="K173" s="12">
        <v>13.73434424</v>
      </c>
      <c r="L173" s="12">
        <v>4.3891123890000001</v>
      </c>
      <c r="M173" s="12">
        <v>11.288776736999999</v>
      </c>
      <c r="N173" s="12">
        <v>594.50243213460794</v>
      </c>
      <c r="O173" s="12" t="s">
        <v>333</v>
      </c>
      <c r="P173" s="12">
        <v>41</v>
      </c>
      <c r="Q173" s="12">
        <v>55</v>
      </c>
      <c r="S173" s="12">
        <v>32.244584798812802</v>
      </c>
      <c r="T173">
        <f t="shared" si="5"/>
        <v>1.3962168693542019</v>
      </c>
    </row>
    <row r="174" spans="1:20" x14ac:dyDescent="0.2">
      <c r="A174" s="11" t="s">
        <v>722</v>
      </c>
      <c r="B174" s="12" t="s">
        <v>34</v>
      </c>
      <c r="C174" s="12" t="s">
        <v>189</v>
      </c>
      <c r="D174" s="12">
        <v>30</v>
      </c>
      <c r="E174" s="12">
        <v>9</v>
      </c>
      <c r="F174" s="12">
        <v>5</v>
      </c>
      <c r="G174" s="12">
        <v>6</v>
      </c>
      <c r="H174" s="12">
        <v>139.04031300544699</v>
      </c>
      <c r="I174" s="12">
        <v>5.6971711359999997</v>
      </c>
      <c r="J174" s="12">
        <v>133.34314186944701</v>
      </c>
      <c r="K174" s="12">
        <v>72.562390042999994</v>
      </c>
      <c r="L174" s="12">
        <v>4.3968272070000003</v>
      </c>
      <c r="M174" s="12">
        <v>60.627697028</v>
      </c>
      <c r="N174" s="12">
        <v>618.45887816592699</v>
      </c>
      <c r="O174" s="12" t="s">
        <v>333</v>
      </c>
      <c r="P174" s="12">
        <v>245</v>
      </c>
      <c r="Q174" s="12">
        <v>133</v>
      </c>
      <c r="S174" s="12">
        <v>114.739609003067</v>
      </c>
      <c r="T174">
        <f t="shared" si="5"/>
        <v>-24.300704002379987</v>
      </c>
    </row>
    <row r="175" spans="1:20" x14ac:dyDescent="0.2">
      <c r="A175" s="11" t="s">
        <v>726</v>
      </c>
      <c r="B175" s="12" t="s">
        <v>34</v>
      </c>
      <c r="C175" s="12" t="s">
        <v>190</v>
      </c>
      <c r="D175" s="12">
        <v>30</v>
      </c>
      <c r="E175" s="12">
        <v>4</v>
      </c>
      <c r="F175" s="12">
        <v>2</v>
      </c>
      <c r="G175" s="12">
        <v>7</v>
      </c>
      <c r="H175" s="12">
        <v>24.6378638744354</v>
      </c>
      <c r="I175" s="12">
        <v>5.5436228380000001</v>
      </c>
      <c r="J175" s="12">
        <v>19.094241036435399</v>
      </c>
      <c r="K175" s="12">
        <v>11.508299444</v>
      </c>
      <c r="L175" s="12">
        <v>3.6755633729999899</v>
      </c>
      <c r="M175" s="12">
        <v>8.0560485110000002</v>
      </c>
      <c r="N175" s="12">
        <v>592.13787113389299</v>
      </c>
      <c r="O175" s="12" t="s">
        <v>333</v>
      </c>
      <c r="P175" s="12">
        <v>13</v>
      </c>
      <c r="Q175" s="12">
        <v>11</v>
      </c>
      <c r="S175" s="12">
        <v>24.4932940006256</v>
      </c>
      <c r="T175">
        <f t="shared" si="5"/>
        <v>-0.14456987380980024</v>
      </c>
    </row>
    <row r="176" spans="1:20" x14ac:dyDescent="0.2">
      <c r="A176" s="11" t="s">
        <v>730</v>
      </c>
      <c r="B176" s="12" t="s">
        <v>34</v>
      </c>
      <c r="C176" s="12" t="s">
        <v>191</v>
      </c>
      <c r="D176" s="12">
        <v>30</v>
      </c>
      <c r="E176" s="12">
        <v>7</v>
      </c>
      <c r="F176" s="12">
        <v>4</v>
      </c>
      <c r="G176" s="12">
        <v>6</v>
      </c>
      <c r="H176" s="12">
        <v>34.210165977477999</v>
      </c>
      <c r="I176" s="12">
        <v>5.5520560359999998</v>
      </c>
      <c r="J176" s="12">
        <v>28.658109941477999</v>
      </c>
      <c r="K176" s="12">
        <v>13.606176092</v>
      </c>
      <c r="L176" s="12">
        <v>5.0207837839999998</v>
      </c>
      <c r="M176" s="12">
        <v>14.145157037000001</v>
      </c>
      <c r="N176" s="12">
        <v>554.97510150857397</v>
      </c>
      <c r="O176" s="12" t="s">
        <v>333</v>
      </c>
      <c r="P176" s="12">
        <v>31</v>
      </c>
      <c r="Q176" s="12">
        <v>9</v>
      </c>
      <c r="S176" s="12">
        <v>27.584921836852999</v>
      </c>
      <c r="T176">
        <f t="shared" si="5"/>
        <v>-6.625244140625</v>
      </c>
    </row>
    <row r="177" spans="1:21" x14ac:dyDescent="0.2">
      <c r="A177" s="11" t="s">
        <v>733</v>
      </c>
      <c r="B177" s="12" t="s">
        <v>34</v>
      </c>
      <c r="C177" s="12" t="s">
        <v>192</v>
      </c>
      <c r="D177" s="12">
        <v>30</v>
      </c>
      <c r="E177" s="12">
        <v>9</v>
      </c>
      <c r="F177" s="12">
        <v>5</v>
      </c>
      <c r="G177" s="12">
        <v>6</v>
      </c>
      <c r="H177" s="12">
        <v>111.200110912323</v>
      </c>
      <c r="I177" s="12">
        <v>5.5452257019999998</v>
      </c>
      <c r="J177" s="12">
        <v>105.654885210323</v>
      </c>
      <c r="K177" s="12">
        <v>77.856698782999999</v>
      </c>
      <c r="L177" s="12">
        <v>7.8172260169999896</v>
      </c>
      <c r="M177" s="12">
        <v>24.058345925000001</v>
      </c>
      <c r="N177" s="12">
        <v>578.67001386192806</v>
      </c>
      <c r="O177" s="12" t="s">
        <v>333</v>
      </c>
      <c r="P177" s="12">
        <v>53</v>
      </c>
      <c r="Q177" s="12">
        <v>55</v>
      </c>
      <c r="S177" s="12">
        <v>117.81610894203099</v>
      </c>
      <c r="T177">
        <f t="shared" si="5"/>
        <v>6.6159980297079954</v>
      </c>
    </row>
    <row r="178" spans="1:21" x14ac:dyDescent="0.2">
      <c r="A178" s="11" t="s">
        <v>737</v>
      </c>
      <c r="B178" s="12" t="s">
        <v>34</v>
      </c>
      <c r="C178" s="12" t="s">
        <v>193</v>
      </c>
      <c r="D178" s="12">
        <v>30</v>
      </c>
      <c r="E178" s="12">
        <v>4</v>
      </c>
      <c r="F178" s="12">
        <v>2</v>
      </c>
      <c r="G178" s="12">
        <v>8</v>
      </c>
      <c r="H178" s="12">
        <v>27.441406965255698</v>
      </c>
      <c r="I178" s="12">
        <v>5.5581851760000003</v>
      </c>
      <c r="J178" s="12">
        <v>21.8832217892557</v>
      </c>
      <c r="K178" s="12">
        <v>11.53765104</v>
      </c>
      <c r="L178" s="12">
        <v>3.5205637459999899</v>
      </c>
      <c r="M178" s="12">
        <v>10.982506651</v>
      </c>
      <c r="N178" s="12">
        <v>593.79201706580398</v>
      </c>
      <c r="O178" s="12" t="s">
        <v>333</v>
      </c>
      <c r="P178" s="12">
        <v>45</v>
      </c>
      <c r="Q178" s="12">
        <v>53</v>
      </c>
      <c r="S178" s="12">
        <v>27.819141864776601</v>
      </c>
      <c r="T178">
        <f t="shared" si="5"/>
        <v>0.37773489952090245</v>
      </c>
    </row>
    <row r="179" spans="1:21" x14ac:dyDescent="0.2">
      <c r="A179" s="11" t="s">
        <v>741</v>
      </c>
      <c r="B179" s="12" t="s">
        <v>34</v>
      </c>
      <c r="C179" s="12" t="s">
        <v>194</v>
      </c>
      <c r="D179" s="12">
        <v>30</v>
      </c>
      <c r="E179" s="12">
        <v>7</v>
      </c>
      <c r="F179" s="12">
        <v>4</v>
      </c>
      <c r="G179" s="12">
        <v>6</v>
      </c>
      <c r="H179" s="12">
        <v>57.630600929260197</v>
      </c>
      <c r="I179" s="12">
        <v>5.5416332940000004</v>
      </c>
      <c r="J179" s="12">
        <v>52.088967635260197</v>
      </c>
      <c r="K179" s="12">
        <v>13.317565343</v>
      </c>
      <c r="L179" s="12">
        <v>4.2678740819999996</v>
      </c>
      <c r="M179" s="12">
        <v>38.618743909000003</v>
      </c>
      <c r="N179" s="12">
        <v>555.82746540212497</v>
      </c>
      <c r="O179" s="12" t="s">
        <v>333</v>
      </c>
      <c r="P179" s="12">
        <v>159</v>
      </c>
      <c r="Q179" s="12">
        <v>183</v>
      </c>
      <c r="S179" s="12">
        <v>61.621932983398402</v>
      </c>
      <c r="T179">
        <f t="shared" si="5"/>
        <v>3.9913320541382049</v>
      </c>
    </row>
    <row r="180" spans="1:21" x14ac:dyDescent="0.2">
      <c r="A180" s="11" t="s">
        <v>745</v>
      </c>
      <c r="B180" s="12" t="s">
        <v>34</v>
      </c>
      <c r="C180" s="12" t="s">
        <v>195</v>
      </c>
      <c r="D180" s="12">
        <v>30</v>
      </c>
      <c r="E180" s="12">
        <v>9</v>
      </c>
      <c r="F180" s="12">
        <v>5</v>
      </c>
      <c r="G180" s="12">
        <v>6</v>
      </c>
      <c r="H180" s="12">
        <v>89.837441921234102</v>
      </c>
      <c r="I180" s="12">
        <v>5.5544651519999997</v>
      </c>
      <c r="J180" s="12">
        <v>84.282976769234097</v>
      </c>
      <c r="K180" s="12">
        <v>65.623725081000003</v>
      </c>
      <c r="L180" s="12">
        <v>6.9365884459999902</v>
      </c>
      <c r="M180" s="12">
        <v>15.803700047</v>
      </c>
      <c r="N180" s="12">
        <v>590.10712208380301</v>
      </c>
      <c r="O180" s="12" t="s">
        <v>333</v>
      </c>
      <c r="P180" s="12">
        <v>31</v>
      </c>
      <c r="Q180" s="12">
        <v>25</v>
      </c>
      <c r="S180" s="12">
        <v>86.661529064178396</v>
      </c>
      <c r="T180">
        <f t="shared" si="5"/>
        <v>-3.1759128570557067</v>
      </c>
    </row>
    <row r="181" spans="1:21" x14ac:dyDescent="0.2">
      <c r="A181" s="11" t="s">
        <v>749</v>
      </c>
      <c r="B181" s="12" t="s">
        <v>34</v>
      </c>
      <c r="C181" s="12" t="s">
        <v>197</v>
      </c>
      <c r="D181" s="12">
        <v>30</v>
      </c>
      <c r="E181" s="12">
        <v>4</v>
      </c>
      <c r="F181" s="12">
        <v>2</v>
      </c>
      <c r="G181" s="12">
        <v>7</v>
      </c>
      <c r="H181" s="12">
        <v>40.033269882202099</v>
      </c>
      <c r="I181" s="12">
        <v>5.5341696589999998</v>
      </c>
      <c r="J181" s="12">
        <v>34.499100223202099</v>
      </c>
      <c r="K181" s="12">
        <v>11.531551302</v>
      </c>
      <c r="L181" s="12">
        <v>4.6128896379999897</v>
      </c>
      <c r="M181" s="12">
        <v>22.492719115</v>
      </c>
      <c r="N181" s="12">
        <v>595.85638509707599</v>
      </c>
      <c r="O181" s="12" t="s">
        <v>333</v>
      </c>
      <c r="P181" s="12">
        <v>107</v>
      </c>
      <c r="Q181" s="12">
        <v>163</v>
      </c>
      <c r="S181" s="12">
        <v>47.135240077972398</v>
      </c>
      <c r="T181">
        <f t="shared" si="5"/>
        <v>7.1019701957702992</v>
      </c>
    </row>
    <row r="182" spans="1:21" x14ac:dyDescent="0.2">
      <c r="A182" s="11" t="s">
        <v>753</v>
      </c>
      <c r="B182" s="12" t="s">
        <v>34</v>
      </c>
      <c r="C182" s="12" t="s">
        <v>198</v>
      </c>
      <c r="D182" s="12">
        <v>30</v>
      </c>
      <c r="E182" s="12">
        <v>7</v>
      </c>
      <c r="F182" s="12">
        <v>4</v>
      </c>
      <c r="G182" s="12">
        <v>6</v>
      </c>
      <c r="H182" s="12">
        <v>26.885313987731902</v>
      </c>
      <c r="I182" s="12">
        <v>5.5752866440000002</v>
      </c>
      <c r="J182" s="12">
        <v>21.3100273437319</v>
      </c>
      <c r="K182" s="12">
        <v>13.652325107999999</v>
      </c>
      <c r="L182" s="12">
        <v>3.7026223319999998</v>
      </c>
      <c r="M182" s="12">
        <v>8.0976571449999994</v>
      </c>
      <c r="N182" s="12">
        <v>484.49302925266102</v>
      </c>
      <c r="O182" s="12" t="s">
        <v>333</v>
      </c>
      <c r="P182" s="12">
        <v>17</v>
      </c>
      <c r="Q182" s="12">
        <v>17</v>
      </c>
      <c r="S182" s="12">
        <v>27.172419071197499</v>
      </c>
      <c r="T182">
        <f t="shared" si="5"/>
        <v>0.28710508346559749</v>
      </c>
    </row>
    <row r="183" spans="1:21" x14ac:dyDescent="0.2">
      <c r="A183" s="11" t="s">
        <v>757</v>
      </c>
      <c r="B183" s="12" t="s">
        <v>34</v>
      </c>
      <c r="C183" s="12" t="s">
        <v>200</v>
      </c>
      <c r="D183" s="12">
        <v>30</v>
      </c>
      <c r="E183" s="12">
        <v>9</v>
      </c>
      <c r="F183" s="12">
        <v>5</v>
      </c>
      <c r="G183" s="12">
        <v>7</v>
      </c>
      <c r="H183" s="12">
        <v>365.26528096199002</v>
      </c>
      <c r="I183" s="12">
        <v>5.5517138699999897</v>
      </c>
      <c r="J183" s="12">
        <v>359.71356709199</v>
      </c>
      <c r="K183" s="12">
        <v>73.242078961999994</v>
      </c>
      <c r="L183" s="12">
        <v>5.0183045850000001</v>
      </c>
      <c r="M183" s="12">
        <v>285.53353099700001</v>
      </c>
      <c r="N183" s="12">
        <v>579.970793506929</v>
      </c>
      <c r="O183" s="12" t="s">
        <v>333</v>
      </c>
      <c r="P183" s="12">
        <v>1543</v>
      </c>
      <c r="Q183" s="12">
        <v>275</v>
      </c>
      <c r="S183" s="12">
        <v>133.27115607261601</v>
      </c>
      <c r="T183">
        <f t="shared" si="5"/>
        <v>-231.99412488937401</v>
      </c>
    </row>
    <row r="184" spans="1:21" s="33" customFormat="1" x14ac:dyDescent="0.2">
      <c r="A184" s="48"/>
      <c r="B184" s="35"/>
      <c r="C184" s="35"/>
      <c r="D184" s="35"/>
      <c r="E184" s="35"/>
      <c r="F184" s="35"/>
      <c r="G184" s="35"/>
      <c r="H184" s="35">
        <f t="shared" ref="H184" si="6">AVERAGE(H124:H183)</f>
        <v>132.45034211476619</v>
      </c>
      <c r="I184" s="35"/>
      <c r="J184" s="35"/>
      <c r="K184" s="35"/>
      <c r="L184" s="35"/>
      <c r="M184" s="35"/>
      <c r="N184" s="35"/>
      <c r="O184" s="35"/>
      <c r="P184" s="35">
        <f>AVERAGE(P124:P183)</f>
        <v>321.85000000000002</v>
      </c>
      <c r="Q184" s="35">
        <f>AVERAGE(Q124:Q183)</f>
        <v>175.35</v>
      </c>
      <c r="R184" s="35"/>
      <c r="S184" s="35">
        <f>AVERAGE(S124:S183)</f>
        <v>87.477982624371677</v>
      </c>
    </row>
    <row r="185" spans="1:21" x14ac:dyDescent="0.2">
      <c r="A185" s="11" t="s">
        <v>525</v>
      </c>
      <c r="B185" s="12" t="s">
        <v>34</v>
      </c>
      <c r="C185" s="12" t="s">
        <v>202</v>
      </c>
      <c r="D185" s="12">
        <v>50</v>
      </c>
      <c r="E185" s="12">
        <v>4</v>
      </c>
      <c r="F185" s="12">
        <v>2</v>
      </c>
      <c r="G185" s="12">
        <v>12</v>
      </c>
      <c r="H185" s="12">
        <v>4252.5448000430997</v>
      </c>
      <c r="I185" s="12">
        <v>5.7570789570000001</v>
      </c>
      <c r="J185" s="12">
        <v>4246.7877210860997</v>
      </c>
      <c r="K185" s="12">
        <v>16.005446394</v>
      </c>
      <c r="L185" s="12">
        <v>9.1823838529999993</v>
      </c>
      <c r="M185" s="12">
        <v>4225.8861275190002</v>
      </c>
      <c r="N185" s="12">
        <v>904.67917181827704</v>
      </c>
      <c r="O185" s="12" t="s">
        <v>333</v>
      </c>
      <c r="P185" s="12">
        <v>10473</v>
      </c>
      <c r="Q185" s="11">
        <v>7057</v>
      </c>
      <c r="S185" s="11">
        <v>2585.0653619766199</v>
      </c>
      <c r="U185" s="11">
        <v>904.67917181827704</v>
      </c>
    </row>
    <row r="186" spans="1:21" x14ac:dyDescent="0.2">
      <c r="A186" s="11" t="s">
        <v>529</v>
      </c>
      <c r="B186" s="12" t="s">
        <v>34</v>
      </c>
      <c r="C186" s="12" t="s">
        <v>204</v>
      </c>
      <c r="D186" s="12">
        <v>50</v>
      </c>
      <c r="E186" s="12">
        <v>7</v>
      </c>
      <c r="F186" s="12">
        <v>4</v>
      </c>
      <c r="G186" s="12">
        <v>10</v>
      </c>
      <c r="H186" s="12">
        <v>740.83564996719304</v>
      </c>
      <c r="I186" s="12">
        <v>5.6419390959999998</v>
      </c>
      <c r="J186" s="12">
        <v>735.19371087119305</v>
      </c>
      <c r="K186" s="12">
        <v>82.149922807999999</v>
      </c>
      <c r="L186" s="12">
        <v>63.094466375000003</v>
      </c>
      <c r="M186" s="12">
        <v>594.09618844700003</v>
      </c>
      <c r="N186" s="12">
        <v>747.15817166929605</v>
      </c>
      <c r="O186" s="12" t="s">
        <v>333</v>
      </c>
      <c r="P186" s="12">
        <v>713</v>
      </c>
      <c r="Q186" s="12">
        <v>1813</v>
      </c>
      <c r="S186" s="12">
        <v>1662.4259889125799</v>
      </c>
      <c r="U186" s="12">
        <v>747.15817166929605</v>
      </c>
    </row>
    <row r="187" spans="1:21" x14ac:dyDescent="0.2">
      <c r="A187" s="11" t="s">
        <v>533</v>
      </c>
      <c r="B187" s="12" t="s">
        <v>34</v>
      </c>
      <c r="C187" s="12" t="s">
        <v>206</v>
      </c>
      <c r="D187" s="12">
        <v>50</v>
      </c>
      <c r="E187" s="12">
        <v>9</v>
      </c>
      <c r="F187" s="12">
        <v>5</v>
      </c>
      <c r="G187" s="12">
        <v>10</v>
      </c>
      <c r="H187" s="12">
        <v>424.09705209731999</v>
      </c>
      <c r="I187" s="12">
        <v>5.6412865160000001</v>
      </c>
      <c r="J187" s="12">
        <v>418.45576558132001</v>
      </c>
      <c r="K187" s="12">
        <v>310.80738940999998</v>
      </c>
      <c r="L187" s="12">
        <v>9.8631129420000008</v>
      </c>
      <c r="M187" s="12">
        <v>101.873571377</v>
      </c>
      <c r="N187" s="12">
        <v>806.98565611128402</v>
      </c>
      <c r="O187" s="12" t="s">
        <v>333</v>
      </c>
      <c r="P187" s="12">
        <v>93</v>
      </c>
      <c r="Q187" s="12">
        <v>113</v>
      </c>
      <c r="S187" s="12">
        <v>434.21398782730103</v>
      </c>
      <c r="U187" s="12">
        <v>807.40091677279202</v>
      </c>
    </row>
    <row r="188" spans="1:21" x14ac:dyDescent="0.2">
      <c r="A188" s="11" t="s">
        <v>537</v>
      </c>
      <c r="B188" s="12" t="s">
        <v>34</v>
      </c>
      <c r="C188" s="12" t="s">
        <v>207</v>
      </c>
      <c r="D188" s="12">
        <v>50</v>
      </c>
      <c r="E188" s="12">
        <v>4</v>
      </c>
      <c r="F188" s="12">
        <v>2</v>
      </c>
      <c r="G188" s="12">
        <v>12</v>
      </c>
      <c r="H188" s="12">
        <v>154.359668970108</v>
      </c>
      <c r="I188" s="12">
        <v>5.5813008450000003</v>
      </c>
      <c r="J188" s="12">
        <v>148.77836812510799</v>
      </c>
      <c r="K188" s="12">
        <v>15.885431806</v>
      </c>
      <c r="L188" s="12">
        <v>8.9837079370000001</v>
      </c>
      <c r="M188" s="12">
        <v>128.068434478</v>
      </c>
      <c r="N188" s="12">
        <v>929.59586886478803</v>
      </c>
      <c r="O188" s="12" t="s">
        <v>333</v>
      </c>
      <c r="P188" s="12">
        <v>257</v>
      </c>
      <c r="Q188" s="12">
        <v>235</v>
      </c>
      <c r="S188" s="12">
        <v>128.15496301651001</v>
      </c>
      <c r="U188" s="12">
        <v>929.59586886478803</v>
      </c>
    </row>
    <row r="189" spans="1:21" x14ac:dyDescent="0.2">
      <c r="A189" s="11" t="s">
        <v>541</v>
      </c>
      <c r="B189" s="12" t="s">
        <v>34</v>
      </c>
      <c r="C189" s="12" t="s">
        <v>208</v>
      </c>
      <c r="D189" s="12">
        <v>50</v>
      </c>
      <c r="E189" s="12">
        <v>7</v>
      </c>
      <c r="F189" s="12">
        <v>4</v>
      </c>
      <c r="G189" s="12">
        <v>10</v>
      </c>
      <c r="H189" s="12">
        <v>158.53988790512</v>
      </c>
      <c r="I189" s="12">
        <v>5.5634166409999999</v>
      </c>
      <c r="J189" s="12">
        <v>152.97647126411999</v>
      </c>
      <c r="K189" s="12">
        <v>75.349959747</v>
      </c>
      <c r="L189" s="12">
        <v>58.633609370999999</v>
      </c>
      <c r="M189" s="12">
        <v>23.075684883000001</v>
      </c>
      <c r="N189" s="12">
        <v>744.25675699009105</v>
      </c>
      <c r="O189" s="12" t="s">
        <v>333</v>
      </c>
      <c r="P189" s="12">
        <v>17</v>
      </c>
      <c r="Q189" s="12">
        <v>7</v>
      </c>
      <c r="S189" s="12">
        <v>146.45706510543801</v>
      </c>
      <c r="U189" s="12">
        <v>744.25675699009105</v>
      </c>
    </row>
    <row r="190" spans="1:21" x14ac:dyDescent="0.2">
      <c r="A190" s="11" t="s">
        <v>545</v>
      </c>
      <c r="B190" s="12" t="s">
        <v>34</v>
      </c>
      <c r="C190" s="12" t="s">
        <v>210</v>
      </c>
      <c r="D190" s="12">
        <v>50</v>
      </c>
      <c r="E190" s="12">
        <v>9</v>
      </c>
      <c r="F190" s="12">
        <v>5</v>
      </c>
      <c r="G190" s="12">
        <v>9</v>
      </c>
      <c r="H190" s="12">
        <v>597.86238598823502</v>
      </c>
      <c r="I190" s="12">
        <v>5.5851940070000001</v>
      </c>
      <c r="J190" s="12">
        <v>592.27719198123498</v>
      </c>
      <c r="K190" s="12">
        <v>334.53650893999998</v>
      </c>
      <c r="L190" s="12">
        <v>8.0187085749999998</v>
      </c>
      <c r="M190" s="12">
        <v>253.757482251</v>
      </c>
      <c r="N190" s="12">
        <v>834.17200706027995</v>
      </c>
      <c r="O190" s="12" t="s">
        <v>333</v>
      </c>
      <c r="P190" s="12">
        <v>359</v>
      </c>
      <c r="Q190" s="12">
        <v>357</v>
      </c>
      <c r="S190" s="12">
        <v>572.44412493705704</v>
      </c>
      <c r="U190" s="12">
        <v>834.17200706027995</v>
      </c>
    </row>
    <row r="191" spans="1:21" x14ac:dyDescent="0.2">
      <c r="A191" s="11" t="s">
        <v>549</v>
      </c>
      <c r="B191" s="12" t="s">
        <v>34</v>
      </c>
      <c r="C191" s="12" t="s">
        <v>213</v>
      </c>
      <c r="D191" s="12">
        <v>50</v>
      </c>
      <c r="E191" s="12">
        <v>4</v>
      </c>
      <c r="F191" s="12">
        <v>2</v>
      </c>
      <c r="G191" s="12">
        <v>12</v>
      </c>
      <c r="H191" s="12">
        <v>210.20736098289399</v>
      </c>
      <c r="I191" s="12">
        <v>5.5696654809999897</v>
      </c>
      <c r="J191" s="12">
        <v>204.637695501894</v>
      </c>
      <c r="K191" s="12">
        <v>15.922041912999999</v>
      </c>
      <c r="L191" s="12">
        <v>15.428142534999999</v>
      </c>
      <c r="M191" s="12">
        <v>177.43392736499999</v>
      </c>
      <c r="N191" s="12">
        <v>927.16749168362298</v>
      </c>
      <c r="O191" s="12" t="s">
        <v>333</v>
      </c>
      <c r="P191" s="12">
        <v>431</v>
      </c>
      <c r="Q191" s="12">
        <v>269</v>
      </c>
      <c r="S191" s="12">
        <v>148.50738406181301</v>
      </c>
      <c r="U191" s="12">
        <v>927.16749168362298</v>
      </c>
    </row>
    <row r="192" spans="1:21" x14ac:dyDescent="0.2">
      <c r="A192" s="11" t="s">
        <v>553</v>
      </c>
      <c r="B192" s="12" t="s">
        <v>34</v>
      </c>
      <c r="C192" s="12" t="s">
        <v>215</v>
      </c>
      <c r="D192" s="12">
        <v>50</v>
      </c>
      <c r="E192" s="12">
        <v>7</v>
      </c>
      <c r="F192" s="12">
        <v>4</v>
      </c>
      <c r="G192" s="12">
        <v>9</v>
      </c>
      <c r="H192" s="12">
        <v>1955.6706969738</v>
      </c>
      <c r="I192" s="12">
        <v>5.566383138</v>
      </c>
      <c r="J192" s="12">
        <v>1950.1043138358</v>
      </c>
      <c r="K192" s="12">
        <v>83.159331232</v>
      </c>
      <c r="L192" s="12">
        <v>11.853416033999901</v>
      </c>
      <c r="M192" s="12">
        <v>1859.1792533390001</v>
      </c>
      <c r="N192" s="12">
        <v>705.85673858062103</v>
      </c>
      <c r="O192" s="12" t="s">
        <v>333</v>
      </c>
      <c r="P192" s="12">
        <v>2465</v>
      </c>
      <c r="Q192" s="12">
        <v>2133</v>
      </c>
      <c r="S192" s="12">
        <v>2243.0696020126302</v>
      </c>
      <c r="U192" s="12">
        <v>705.85673858062103</v>
      </c>
    </row>
    <row r="193" spans="1:21" x14ac:dyDescent="0.2">
      <c r="A193" s="11" t="s">
        <v>557</v>
      </c>
      <c r="B193" s="12" t="s">
        <v>34</v>
      </c>
      <c r="C193" s="12" t="s">
        <v>217</v>
      </c>
      <c r="D193" s="12">
        <v>50</v>
      </c>
      <c r="E193" s="12">
        <v>9</v>
      </c>
      <c r="F193" s="12">
        <v>5</v>
      </c>
      <c r="G193" s="12">
        <v>10</v>
      </c>
      <c r="H193" s="12">
        <v>834.81416511535599</v>
      </c>
      <c r="I193" s="12">
        <v>5.5916235009999999</v>
      </c>
      <c r="J193" s="12">
        <v>829.22254161435603</v>
      </c>
      <c r="K193" s="12">
        <v>319.85746519399999</v>
      </c>
      <c r="L193" s="12">
        <v>76.905562477000004</v>
      </c>
      <c r="M193" s="12">
        <v>436.48284419599997</v>
      </c>
      <c r="N193" s="12">
        <v>806.74999695620102</v>
      </c>
      <c r="O193" s="12" t="s">
        <v>333</v>
      </c>
      <c r="P193" s="12">
        <v>409</v>
      </c>
      <c r="Q193" s="12">
        <v>493</v>
      </c>
      <c r="S193" s="12">
        <v>852.86549806594803</v>
      </c>
      <c r="U193" s="12">
        <v>806.74999695620102</v>
      </c>
    </row>
    <row r="194" spans="1:21" x14ac:dyDescent="0.2">
      <c r="A194" s="11" t="s">
        <v>561</v>
      </c>
      <c r="B194" s="12" t="s">
        <v>34</v>
      </c>
      <c r="C194" s="12" t="s">
        <v>219</v>
      </c>
      <c r="D194" s="12">
        <v>50</v>
      </c>
      <c r="E194" s="12">
        <v>4</v>
      </c>
      <c r="F194" s="12">
        <v>2</v>
      </c>
      <c r="G194" s="12">
        <v>12</v>
      </c>
      <c r="H194" s="12">
        <v>275.48840999603198</v>
      </c>
      <c r="I194" s="12">
        <v>5.5582477159999897</v>
      </c>
      <c r="J194" s="12">
        <v>269.93016228003199</v>
      </c>
      <c r="K194" s="12">
        <v>15.846969475</v>
      </c>
      <c r="L194" s="12">
        <v>10.880050484</v>
      </c>
      <c r="M194" s="12">
        <v>247.34645357799999</v>
      </c>
      <c r="N194" s="12">
        <v>863.44330608101404</v>
      </c>
      <c r="O194" s="12" t="s">
        <v>333</v>
      </c>
      <c r="P194" s="12">
        <v>525</v>
      </c>
      <c r="Q194" s="12">
        <v>587</v>
      </c>
      <c r="S194" s="12">
        <v>259.32022309303198</v>
      </c>
      <c r="U194" s="12">
        <v>863.44330608101404</v>
      </c>
    </row>
    <row r="195" spans="1:21" x14ac:dyDescent="0.2">
      <c r="A195" s="11" t="s">
        <v>565</v>
      </c>
      <c r="B195" s="12" t="s">
        <v>34</v>
      </c>
      <c r="C195" s="12" t="s">
        <v>221</v>
      </c>
      <c r="D195" s="12">
        <v>50</v>
      </c>
      <c r="E195" s="12">
        <v>7</v>
      </c>
      <c r="F195" s="12">
        <v>4</v>
      </c>
      <c r="G195" s="12">
        <v>9</v>
      </c>
      <c r="H195" s="12">
        <v>438.84659314155499</v>
      </c>
      <c r="I195" s="12">
        <v>5.5949265490000002</v>
      </c>
      <c r="J195" s="12">
        <v>433.25166659255501</v>
      </c>
      <c r="K195" s="12">
        <v>79.526536575999998</v>
      </c>
      <c r="L195" s="12">
        <v>208.67191094099999</v>
      </c>
      <c r="M195" s="12">
        <v>149.15014466599999</v>
      </c>
      <c r="N195" s="12">
        <v>732.07830938304699</v>
      </c>
      <c r="O195" s="12" t="s">
        <v>333</v>
      </c>
      <c r="P195" s="12">
        <v>127</v>
      </c>
      <c r="Q195" s="12">
        <v>43</v>
      </c>
      <c r="S195" s="12">
        <v>345.83798098564102</v>
      </c>
      <c r="U195" s="12">
        <v>732.07830938304699</v>
      </c>
    </row>
    <row r="196" spans="1:21" x14ac:dyDescent="0.2">
      <c r="A196" s="11" t="s">
        <v>569</v>
      </c>
      <c r="B196" s="12" t="s">
        <v>34</v>
      </c>
      <c r="C196" s="12" t="s">
        <v>223</v>
      </c>
      <c r="D196" s="12">
        <v>50</v>
      </c>
      <c r="E196" s="12">
        <v>9</v>
      </c>
      <c r="F196" s="12">
        <v>5</v>
      </c>
      <c r="G196" s="12">
        <v>9</v>
      </c>
      <c r="H196" s="12">
        <v>414.25679707527098</v>
      </c>
      <c r="I196" s="12">
        <v>5.6058708269999897</v>
      </c>
      <c r="J196" s="12">
        <v>408.65092624827099</v>
      </c>
      <c r="K196" s="12">
        <v>325.10036803700001</v>
      </c>
      <c r="L196" s="12">
        <v>10.259433212999999</v>
      </c>
      <c r="M196" s="12">
        <v>77.343243056000006</v>
      </c>
      <c r="N196" s="12">
        <v>748.647066775697</v>
      </c>
      <c r="O196" s="12" t="s">
        <v>333</v>
      </c>
      <c r="P196" s="12">
        <v>79</v>
      </c>
      <c r="Q196" s="12">
        <v>49</v>
      </c>
      <c r="R196" s="12">
        <v>70</v>
      </c>
      <c r="S196" s="12">
        <v>390.61682415008499</v>
      </c>
      <c r="U196" s="12">
        <v>748.647066775697</v>
      </c>
    </row>
    <row r="197" spans="1:21" x14ac:dyDescent="0.2">
      <c r="A197" s="11" t="s">
        <v>573</v>
      </c>
      <c r="B197" s="12" t="s">
        <v>34</v>
      </c>
      <c r="C197" s="12" t="s">
        <v>225</v>
      </c>
      <c r="D197" s="12">
        <v>50</v>
      </c>
      <c r="E197" s="12">
        <v>4</v>
      </c>
      <c r="F197" s="12">
        <v>2</v>
      </c>
      <c r="G197" s="12">
        <v>11</v>
      </c>
      <c r="H197" s="12">
        <v>131.53698897361701</v>
      </c>
      <c r="I197" s="12">
        <v>5.5710374939999996</v>
      </c>
      <c r="J197" s="12">
        <v>125.965951479617</v>
      </c>
      <c r="K197" s="12">
        <v>16.184289145000001</v>
      </c>
      <c r="L197" s="12">
        <v>6.5300527779999999</v>
      </c>
      <c r="M197" s="12">
        <v>107.395117989</v>
      </c>
      <c r="N197" s="12">
        <v>857.03541608793603</v>
      </c>
      <c r="O197" s="12" t="s">
        <v>333</v>
      </c>
      <c r="P197" s="12">
        <v>235</v>
      </c>
      <c r="Q197" s="12">
        <v>195</v>
      </c>
      <c r="S197" s="12">
        <v>120.201446056365</v>
      </c>
      <c r="U197" s="12">
        <v>857.03541608793603</v>
      </c>
    </row>
    <row r="198" spans="1:21" x14ac:dyDescent="0.2">
      <c r="A198" s="11" t="s">
        <v>577</v>
      </c>
      <c r="B198" s="12" t="s">
        <v>34</v>
      </c>
      <c r="C198" s="12" t="s">
        <v>226</v>
      </c>
      <c r="D198" s="12">
        <v>50</v>
      </c>
      <c r="E198" s="12">
        <v>7</v>
      </c>
      <c r="F198" s="12">
        <v>4</v>
      </c>
      <c r="G198" s="12">
        <v>9</v>
      </c>
      <c r="H198" s="12">
        <v>309.66894006729098</v>
      </c>
      <c r="I198" s="12">
        <v>5.5764934649999898</v>
      </c>
      <c r="J198" s="12">
        <v>304.09244660229098</v>
      </c>
      <c r="K198" s="12">
        <v>73.210904944000006</v>
      </c>
      <c r="L198" s="12">
        <v>43.448602604999998</v>
      </c>
      <c r="M198" s="12">
        <v>191.524636168</v>
      </c>
      <c r="N198" s="12">
        <v>728.449915009915</v>
      </c>
      <c r="O198" s="12" t="s">
        <v>333</v>
      </c>
      <c r="P198" s="12">
        <v>87</v>
      </c>
      <c r="Q198" s="12">
        <v>131</v>
      </c>
      <c r="S198" s="12">
        <v>342.60547590255698</v>
      </c>
      <c r="U198" s="12">
        <v>728.449915009915</v>
      </c>
    </row>
    <row r="199" spans="1:21" x14ac:dyDescent="0.2">
      <c r="A199" s="11" t="s">
        <v>581</v>
      </c>
      <c r="B199" s="12" t="s">
        <v>34</v>
      </c>
      <c r="C199" s="12" t="s">
        <v>228</v>
      </c>
      <c r="D199" s="12">
        <v>50</v>
      </c>
      <c r="E199" s="12">
        <v>9</v>
      </c>
      <c r="F199" s="12">
        <v>5</v>
      </c>
      <c r="G199" s="12">
        <v>9</v>
      </c>
      <c r="H199" s="12">
        <v>2060.1346590518901</v>
      </c>
      <c r="I199" s="12">
        <v>5.5716231379999996</v>
      </c>
      <c r="J199" s="12">
        <v>2054.56303591389</v>
      </c>
      <c r="K199" s="12">
        <v>294.85370944800002</v>
      </c>
      <c r="L199" s="12">
        <v>143.37253653799999</v>
      </c>
      <c r="M199" s="12">
        <v>1620.3679868290001</v>
      </c>
      <c r="N199" s="12">
        <v>788.15119748953202</v>
      </c>
      <c r="O199" s="12" t="s">
        <v>333</v>
      </c>
      <c r="P199" s="12">
        <v>987</v>
      </c>
      <c r="Q199" s="12">
        <v>707</v>
      </c>
      <c r="S199" s="12">
        <v>1386.24075198173</v>
      </c>
      <c r="U199" s="12">
        <v>788.15119748953202</v>
      </c>
    </row>
    <row r="200" spans="1:21" x14ac:dyDescent="0.2">
      <c r="A200" s="11" t="s">
        <v>585</v>
      </c>
      <c r="B200" s="12" t="s">
        <v>34</v>
      </c>
      <c r="C200" s="12" t="s">
        <v>340</v>
      </c>
      <c r="D200" s="12">
        <v>50</v>
      </c>
      <c r="E200" s="12">
        <v>4</v>
      </c>
      <c r="F200" s="12">
        <v>2</v>
      </c>
      <c r="G200" s="12">
        <v>11</v>
      </c>
      <c r="H200" s="12">
        <v>3116.51782989501</v>
      </c>
      <c r="I200" s="12">
        <v>5.5651331490000002</v>
      </c>
      <c r="J200" s="12">
        <v>3110.9526967460101</v>
      </c>
      <c r="K200" s="12">
        <v>15.857413737</v>
      </c>
      <c r="L200" s="12">
        <v>17.523264741999999</v>
      </c>
      <c r="M200" s="12">
        <v>3081.6902841870001</v>
      </c>
      <c r="N200" s="12">
        <v>886.57651776662601</v>
      </c>
      <c r="O200" s="12" t="s">
        <v>333</v>
      </c>
      <c r="P200" s="12">
        <v>5993</v>
      </c>
      <c r="Q200" s="12">
        <v>1585</v>
      </c>
      <c r="S200" s="12">
        <v>899.13463187217701</v>
      </c>
      <c r="U200" s="12">
        <v>886.57651776662601</v>
      </c>
    </row>
    <row r="201" spans="1:21" x14ac:dyDescent="0.2">
      <c r="A201" s="11" t="s">
        <v>589</v>
      </c>
      <c r="B201" s="12" t="s">
        <v>34</v>
      </c>
      <c r="C201" s="12" t="s">
        <v>231</v>
      </c>
      <c r="D201" s="12">
        <v>50</v>
      </c>
      <c r="E201" s="12">
        <v>7</v>
      </c>
      <c r="F201" s="12">
        <v>4</v>
      </c>
      <c r="G201" s="12">
        <v>9</v>
      </c>
      <c r="H201" s="12">
        <v>2321.1530699729901</v>
      </c>
      <c r="I201" s="12">
        <v>5.5607367160000001</v>
      </c>
      <c r="J201" s="12">
        <v>2315.5923332569901</v>
      </c>
      <c r="K201" s="12">
        <v>82.592015455999999</v>
      </c>
      <c r="L201" s="12">
        <v>44.002435584999901</v>
      </c>
      <c r="M201" s="12">
        <v>2193.0712588340002</v>
      </c>
      <c r="N201" s="12">
        <v>731.301627342247</v>
      </c>
      <c r="O201" s="12" t="s">
        <v>333</v>
      </c>
      <c r="P201" s="12">
        <v>1683</v>
      </c>
      <c r="Q201" s="12">
        <v>2079</v>
      </c>
      <c r="S201" s="12">
        <v>2820.28396201133</v>
      </c>
      <c r="U201" s="12">
        <v>731.301627342247</v>
      </c>
    </row>
    <row r="202" spans="1:21" x14ac:dyDescent="0.2">
      <c r="A202" s="11" t="s">
        <v>593</v>
      </c>
      <c r="B202" s="12" t="s">
        <v>34</v>
      </c>
      <c r="C202" s="12" t="s">
        <v>232</v>
      </c>
      <c r="D202" s="12">
        <v>50</v>
      </c>
      <c r="E202" s="12">
        <v>9</v>
      </c>
      <c r="F202" s="12">
        <v>5</v>
      </c>
      <c r="G202" s="12">
        <v>9</v>
      </c>
      <c r="H202" s="12">
        <v>521.50616908073403</v>
      </c>
      <c r="I202" s="12">
        <v>5.5959923109999998</v>
      </c>
      <c r="J202" s="12">
        <v>515.91017676973399</v>
      </c>
      <c r="K202" s="12">
        <v>317.60875123599999</v>
      </c>
      <c r="L202" s="12">
        <v>85.842999248999902</v>
      </c>
      <c r="M202" s="12">
        <v>116.506233193</v>
      </c>
      <c r="N202" s="12">
        <v>830.03670880444804</v>
      </c>
      <c r="O202" s="12" t="s">
        <v>333</v>
      </c>
      <c r="P202" s="12">
        <v>117</v>
      </c>
      <c r="Q202" s="12">
        <v>83</v>
      </c>
      <c r="S202" s="12">
        <v>487.15978097915598</v>
      </c>
      <c r="U202" s="12">
        <v>830.03670880444804</v>
      </c>
    </row>
    <row r="203" spans="1:21" x14ac:dyDescent="0.2">
      <c r="A203" s="11" t="s">
        <v>597</v>
      </c>
      <c r="B203" s="12" t="s">
        <v>34</v>
      </c>
      <c r="C203" s="12" t="s">
        <v>235</v>
      </c>
      <c r="D203" s="12">
        <v>50</v>
      </c>
      <c r="E203" s="12">
        <v>4</v>
      </c>
      <c r="F203" s="12">
        <v>2</v>
      </c>
      <c r="G203" s="12">
        <v>10</v>
      </c>
      <c r="H203" s="12">
        <v>1247.60130214691</v>
      </c>
      <c r="I203" s="12">
        <v>5.6425039519999904</v>
      </c>
      <c r="J203" s="12">
        <v>1241.9587981949101</v>
      </c>
      <c r="K203" s="12">
        <v>15.945598283000001</v>
      </c>
      <c r="L203" s="12">
        <v>36.074959659000001</v>
      </c>
      <c r="M203" s="12">
        <v>1194.165895979</v>
      </c>
      <c r="N203" s="12">
        <v>871.40551925465002</v>
      </c>
      <c r="O203" s="12" t="s">
        <v>333</v>
      </c>
      <c r="P203" s="12">
        <v>923</v>
      </c>
      <c r="Q203" s="12">
        <v>883</v>
      </c>
      <c r="S203" s="12">
        <v>869.86376214027405</v>
      </c>
      <c r="U203" s="12">
        <v>871.78515314670096</v>
      </c>
    </row>
    <row r="204" spans="1:21" x14ac:dyDescent="0.2">
      <c r="A204" s="11" t="s">
        <v>601</v>
      </c>
      <c r="B204" s="12" t="s">
        <v>34</v>
      </c>
      <c r="C204" s="12" t="s">
        <v>237</v>
      </c>
      <c r="D204" s="12">
        <v>50</v>
      </c>
      <c r="E204" s="12">
        <v>7</v>
      </c>
      <c r="F204" s="12">
        <v>4</v>
      </c>
      <c r="G204" s="12">
        <v>10</v>
      </c>
      <c r="H204" s="12">
        <v>447.808020114898</v>
      </c>
      <c r="I204" s="12">
        <v>5.5639683079999998</v>
      </c>
      <c r="J204" s="12">
        <v>442.24405180689803</v>
      </c>
      <c r="K204" s="12">
        <v>76.543928214999994</v>
      </c>
      <c r="L204" s="12">
        <v>38.843713643999997</v>
      </c>
      <c r="M204" s="12">
        <v>330.93146617899998</v>
      </c>
      <c r="N204" s="12">
        <v>766.43645298435899</v>
      </c>
      <c r="O204" s="12" t="s">
        <v>333</v>
      </c>
      <c r="P204" s="12">
        <v>343</v>
      </c>
      <c r="Q204" s="12">
        <v>483</v>
      </c>
      <c r="S204" s="12">
        <v>571.77860498428299</v>
      </c>
      <c r="U204" s="12">
        <v>767.130263104184</v>
      </c>
    </row>
    <row r="205" spans="1:21" x14ac:dyDescent="0.2">
      <c r="A205" s="11" t="s">
        <v>605</v>
      </c>
      <c r="B205" s="12" t="s">
        <v>34</v>
      </c>
      <c r="C205" s="12" t="s">
        <v>240</v>
      </c>
      <c r="D205" s="12">
        <v>50</v>
      </c>
      <c r="E205" s="12">
        <v>9</v>
      </c>
      <c r="F205" s="12">
        <v>5</v>
      </c>
      <c r="G205" s="12">
        <v>10</v>
      </c>
      <c r="H205" s="12">
        <v>460.094762086868</v>
      </c>
      <c r="I205" s="12">
        <v>5.637635521</v>
      </c>
      <c r="J205" s="12">
        <v>454.45712656586801</v>
      </c>
      <c r="K205" s="12">
        <v>333.13010113199999</v>
      </c>
      <c r="L205" s="12">
        <v>11.308269617000001</v>
      </c>
      <c r="M205" s="12">
        <v>114.130808183</v>
      </c>
      <c r="N205" s="12">
        <v>877.96742772697405</v>
      </c>
      <c r="O205" s="12" t="s">
        <v>333</v>
      </c>
      <c r="P205" s="12">
        <v>133</v>
      </c>
      <c r="Q205" s="12">
        <v>159</v>
      </c>
      <c r="S205" s="12">
        <v>460.60642981529202</v>
      </c>
      <c r="U205" s="12">
        <v>877.96742772697496</v>
      </c>
    </row>
    <row r="206" spans="1:21" x14ac:dyDescent="0.2">
      <c r="A206" s="11" t="s">
        <v>609</v>
      </c>
      <c r="B206" s="12" t="s">
        <v>34</v>
      </c>
      <c r="C206" s="12" t="s">
        <v>241</v>
      </c>
      <c r="D206" s="12">
        <v>50</v>
      </c>
      <c r="E206" s="12">
        <v>4</v>
      </c>
      <c r="F206" s="12">
        <v>2</v>
      </c>
      <c r="G206" s="12">
        <v>12</v>
      </c>
      <c r="H206" s="12">
        <v>471.86671090125998</v>
      </c>
      <c r="I206" s="12">
        <v>5.5588252059999999</v>
      </c>
      <c r="J206" s="12">
        <v>466.30788569525998</v>
      </c>
      <c r="K206" s="12">
        <v>15.997564592</v>
      </c>
      <c r="L206" s="12">
        <v>21.160483908</v>
      </c>
      <c r="M206" s="12">
        <v>433.294389792</v>
      </c>
      <c r="N206" s="12">
        <v>930.55575742158896</v>
      </c>
      <c r="O206" s="12" t="s">
        <v>333</v>
      </c>
      <c r="P206" s="12">
        <v>633</v>
      </c>
      <c r="Q206" s="12">
        <v>319</v>
      </c>
      <c r="S206" s="12">
        <v>248.65767002105699</v>
      </c>
      <c r="U206" s="12">
        <v>930.55575742158896</v>
      </c>
    </row>
    <row r="207" spans="1:21" x14ac:dyDescent="0.2">
      <c r="A207" s="11" t="s">
        <v>613</v>
      </c>
      <c r="B207" s="12" t="s">
        <v>34</v>
      </c>
      <c r="C207" s="12" t="s">
        <v>243</v>
      </c>
      <c r="D207" s="12">
        <v>50</v>
      </c>
      <c r="E207" s="12">
        <v>7</v>
      </c>
      <c r="F207" s="12">
        <v>4</v>
      </c>
      <c r="G207" s="12">
        <v>10</v>
      </c>
      <c r="H207" s="12">
        <v>667.50511407852105</v>
      </c>
      <c r="I207" s="12">
        <v>5.5995438139999996</v>
      </c>
      <c r="J207" s="12">
        <v>661.90557026452097</v>
      </c>
      <c r="K207" s="12">
        <v>82.035395115</v>
      </c>
      <c r="L207" s="12">
        <v>9.7858018900000001</v>
      </c>
      <c r="M207" s="12">
        <v>574.19130119600004</v>
      </c>
      <c r="N207" s="12">
        <v>731.89282430024002</v>
      </c>
      <c r="O207" s="12" t="s">
        <v>333</v>
      </c>
      <c r="P207" s="12">
        <v>833</v>
      </c>
      <c r="Q207" s="12">
        <v>327</v>
      </c>
      <c r="S207" s="12">
        <v>327.47356319427399</v>
      </c>
      <c r="U207" s="12">
        <v>731.89282430024002</v>
      </c>
    </row>
    <row r="208" spans="1:21" x14ac:dyDescent="0.2">
      <c r="A208" s="11" t="s">
        <v>617</v>
      </c>
      <c r="B208" s="12" t="s">
        <v>34</v>
      </c>
      <c r="C208" s="12" t="s">
        <v>244</v>
      </c>
      <c r="D208" s="12">
        <v>50</v>
      </c>
      <c r="E208" s="12">
        <v>9</v>
      </c>
      <c r="F208" s="12">
        <v>5</v>
      </c>
      <c r="G208" s="12">
        <v>9</v>
      </c>
      <c r="H208" s="12">
        <v>894.93967390060402</v>
      </c>
      <c r="I208" s="12">
        <v>5.5851496320000003</v>
      </c>
      <c r="J208" s="12">
        <v>889.354524268604</v>
      </c>
      <c r="K208" s="12">
        <v>331.69062249500001</v>
      </c>
      <c r="L208" s="12">
        <v>50.365705632000001</v>
      </c>
      <c r="M208" s="12">
        <v>511.33299891799999</v>
      </c>
      <c r="N208" s="12">
        <v>827.49230972810301</v>
      </c>
      <c r="O208" s="12" t="s">
        <v>333</v>
      </c>
      <c r="P208" s="12">
        <v>457</v>
      </c>
      <c r="Q208" s="12">
        <v>231</v>
      </c>
      <c r="S208" s="12">
        <v>660.19589710235596</v>
      </c>
      <c r="U208" s="12">
        <v>827.77709770441697</v>
      </c>
    </row>
    <row r="209" spans="1:21" x14ac:dyDescent="0.2">
      <c r="A209" s="11" t="s">
        <v>621</v>
      </c>
      <c r="B209" s="12" t="s">
        <v>34</v>
      </c>
      <c r="C209" s="12" t="s">
        <v>245</v>
      </c>
      <c r="D209" s="12">
        <v>50</v>
      </c>
      <c r="E209" s="12">
        <v>4</v>
      </c>
      <c r="F209" s="12">
        <v>2</v>
      </c>
      <c r="G209" s="12">
        <v>11</v>
      </c>
      <c r="H209" s="12">
        <v>576.25801086425702</v>
      </c>
      <c r="I209" s="12">
        <v>5.5790600330000002</v>
      </c>
      <c r="J209" s="12">
        <v>570.678950831257</v>
      </c>
      <c r="K209" s="12">
        <v>15.979930105999999</v>
      </c>
      <c r="L209" s="12">
        <v>16.866567992</v>
      </c>
      <c r="M209" s="12">
        <v>541.98379309100005</v>
      </c>
      <c r="N209" s="12">
        <v>870.25650037795697</v>
      </c>
      <c r="O209" s="12" t="s">
        <v>333</v>
      </c>
      <c r="P209" s="12">
        <v>713</v>
      </c>
      <c r="Q209" s="12">
        <v>545</v>
      </c>
      <c r="R209" s="12">
        <v>700</v>
      </c>
      <c r="S209" s="12">
        <v>452.566582918167</v>
      </c>
      <c r="U209" s="12">
        <v>870.25650037795697</v>
      </c>
    </row>
    <row r="210" spans="1:21" x14ac:dyDescent="0.2">
      <c r="A210" s="11" t="s">
        <v>625</v>
      </c>
      <c r="B210" s="12" t="s">
        <v>34</v>
      </c>
      <c r="C210" s="12" t="s">
        <v>247</v>
      </c>
      <c r="D210" s="12">
        <v>50</v>
      </c>
      <c r="E210" s="12">
        <v>7</v>
      </c>
      <c r="F210" s="12">
        <v>4</v>
      </c>
      <c r="G210" s="12">
        <v>10</v>
      </c>
      <c r="H210" s="12">
        <v>570.51594209670998</v>
      </c>
      <c r="I210" s="12">
        <v>5.5975879510000004</v>
      </c>
      <c r="J210" s="12">
        <v>564.91835414571005</v>
      </c>
      <c r="K210" s="12">
        <v>79.381760197999995</v>
      </c>
      <c r="L210" s="12">
        <v>57.718435194999998</v>
      </c>
      <c r="M210" s="12">
        <v>431.92007880599999</v>
      </c>
      <c r="N210" s="12">
        <v>734.23864775306902</v>
      </c>
      <c r="O210" s="12" t="s">
        <v>333</v>
      </c>
      <c r="P210" s="12">
        <v>407</v>
      </c>
      <c r="Q210" s="12">
        <v>201</v>
      </c>
      <c r="S210" s="12">
        <v>433.05508017539898</v>
      </c>
      <c r="U210" s="12">
        <v>734.23864775307004</v>
      </c>
    </row>
    <row r="211" spans="1:21" x14ac:dyDescent="0.2">
      <c r="A211" s="11" t="s">
        <v>629</v>
      </c>
      <c r="B211" s="12" t="s">
        <v>34</v>
      </c>
      <c r="C211" s="12" t="s">
        <v>249</v>
      </c>
      <c r="D211" s="12">
        <v>50</v>
      </c>
      <c r="E211" s="12">
        <v>9</v>
      </c>
      <c r="F211" s="12">
        <v>5</v>
      </c>
      <c r="G211" s="12">
        <v>9</v>
      </c>
      <c r="H211" s="12">
        <v>2871.0755269527399</v>
      </c>
      <c r="I211" s="12">
        <v>5.5912329920000001</v>
      </c>
      <c r="J211" s="12">
        <v>2865.4842939607402</v>
      </c>
      <c r="K211" s="12">
        <v>325.170542485</v>
      </c>
      <c r="L211" s="12">
        <v>71.928877419000003</v>
      </c>
      <c r="M211" s="12">
        <v>2472.4211832340002</v>
      </c>
      <c r="N211" s="12">
        <v>774.535653715987</v>
      </c>
      <c r="O211" s="12" t="s">
        <v>333</v>
      </c>
      <c r="P211" s="12">
        <v>2399</v>
      </c>
      <c r="Q211" s="12">
        <v>73</v>
      </c>
      <c r="S211" s="12">
        <v>501.51534295082001</v>
      </c>
      <c r="U211" s="12">
        <v>774.52327158880996</v>
      </c>
    </row>
    <row r="212" spans="1:21" x14ac:dyDescent="0.2">
      <c r="A212" s="11" t="s">
        <v>633</v>
      </c>
      <c r="B212" s="12" t="s">
        <v>34</v>
      </c>
      <c r="C212" s="12" t="s">
        <v>251</v>
      </c>
      <c r="D212" s="12">
        <v>50</v>
      </c>
      <c r="E212" s="12">
        <v>4</v>
      </c>
      <c r="F212" s="12">
        <v>2</v>
      </c>
      <c r="G212" s="12">
        <v>11</v>
      </c>
      <c r="H212" s="12">
        <v>172.809255123138</v>
      </c>
      <c r="I212" s="12">
        <v>5.5576416630000001</v>
      </c>
      <c r="J212" s="12">
        <v>167.251613460138</v>
      </c>
      <c r="K212" s="12">
        <v>15.965692217999999</v>
      </c>
      <c r="L212" s="12">
        <v>15.588559842</v>
      </c>
      <c r="M212" s="12">
        <v>139.82902927399999</v>
      </c>
      <c r="N212" s="12">
        <v>884.67255733371599</v>
      </c>
      <c r="O212" s="12" t="s">
        <v>333</v>
      </c>
      <c r="P212" s="12">
        <v>259</v>
      </c>
      <c r="Q212" s="12">
        <v>277</v>
      </c>
      <c r="S212" s="12">
        <v>189.90681791305499</v>
      </c>
      <c r="U212" s="12">
        <v>884.61248507040705</v>
      </c>
    </row>
    <row r="213" spans="1:21" x14ac:dyDescent="0.2">
      <c r="A213" s="11" t="s">
        <v>637</v>
      </c>
      <c r="B213" s="12" t="s">
        <v>34</v>
      </c>
      <c r="C213" s="12" t="s">
        <v>253</v>
      </c>
      <c r="D213" s="12">
        <v>50</v>
      </c>
      <c r="E213" s="12">
        <v>7</v>
      </c>
      <c r="F213" s="12">
        <v>4</v>
      </c>
      <c r="G213" s="12">
        <v>9</v>
      </c>
      <c r="H213" s="12">
        <v>8587.4799149036407</v>
      </c>
      <c r="I213" s="12">
        <v>5.5874424669999998</v>
      </c>
      <c r="J213" s="12">
        <v>8581.8924724366407</v>
      </c>
      <c r="K213" s="12">
        <v>73.512670280999998</v>
      </c>
      <c r="L213" s="12">
        <v>140.36902936600001</v>
      </c>
      <c r="M213" s="12">
        <v>8372.1143973830003</v>
      </c>
      <c r="N213" s="12">
        <v>742.21627896121799</v>
      </c>
      <c r="O213" s="12" t="s">
        <v>333</v>
      </c>
      <c r="P213" s="12">
        <v>4555</v>
      </c>
      <c r="Q213" s="12">
        <v>2459</v>
      </c>
      <c r="S213" s="12">
        <v>3816.4895281791601</v>
      </c>
      <c r="U213" s="12">
        <v>742.21627896121799</v>
      </c>
    </row>
    <row r="214" spans="1:21" x14ac:dyDescent="0.2">
      <c r="A214" s="11" t="s">
        <v>641</v>
      </c>
      <c r="B214" s="12" t="s">
        <v>34</v>
      </c>
      <c r="C214" s="12" t="s">
        <v>255</v>
      </c>
      <c r="D214" s="12">
        <v>50</v>
      </c>
      <c r="E214" s="12">
        <v>9</v>
      </c>
      <c r="F214" s="12">
        <v>5</v>
      </c>
      <c r="G214" s="12">
        <v>9</v>
      </c>
      <c r="H214" s="12">
        <v>1422.98078203201</v>
      </c>
      <c r="I214" s="12">
        <v>5.6246391999999998</v>
      </c>
      <c r="J214" s="12">
        <v>1417.3561428320099</v>
      </c>
      <c r="K214" s="12">
        <v>296.13347886600002</v>
      </c>
      <c r="L214" s="12">
        <v>52.611528096999997</v>
      </c>
      <c r="M214" s="12">
        <v>1072.695823067</v>
      </c>
      <c r="N214" s="12">
        <v>838.70969154240095</v>
      </c>
      <c r="O214" s="12" t="s">
        <v>333</v>
      </c>
      <c r="P214" s="12">
        <v>721</v>
      </c>
      <c r="Q214" s="12">
        <v>237</v>
      </c>
      <c r="S214" s="12">
        <v>744.54210901260296</v>
      </c>
      <c r="U214" s="12">
        <v>838.85359744985305</v>
      </c>
    </row>
    <row r="215" spans="1:21" x14ac:dyDescent="0.2">
      <c r="A215" s="11" t="s">
        <v>645</v>
      </c>
      <c r="B215" s="12" t="s">
        <v>34</v>
      </c>
      <c r="C215" s="12" t="s">
        <v>257</v>
      </c>
      <c r="D215" s="12">
        <v>50</v>
      </c>
      <c r="E215" s="12">
        <v>4</v>
      </c>
      <c r="F215" s="12">
        <v>2</v>
      </c>
      <c r="G215" s="12">
        <v>11</v>
      </c>
      <c r="H215" s="12">
        <v>2991.46394109725</v>
      </c>
      <c r="I215" s="12">
        <v>5.550098685</v>
      </c>
      <c r="J215" s="12">
        <v>2985.9138424122498</v>
      </c>
      <c r="K215" s="12">
        <v>15.856755729</v>
      </c>
      <c r="L215" s="12">
        <v>20.929317628</v>
      </c>
      <c r="M215" s="12">
        <v>2953.2608328749998</v>
      </c>
      <c r="N215" s="12">
        <v>830.37386602136405</v>
      </c>
      <c r="O215" s="12" t="s">
        <v>333</v>
      </c>
      <c r="P215" s="12">
        <v>2869</v>
      </c>
      <c r="Q215" s="12">
        <v>825</v>
      </c>
      <c r="S215" s="12">
        <v>839.471771001815</v>
      </c>
      <c r="U215" s="12">
        <v>830.37386602136405</v>
      </c>
    </row>
    <row r="216" spans="1:21" x14ac:dyDescent="0.2">
      <c r="A216" s="11" t="s">
        <v>649</v>
      </c>
      <c r="B216" s="12" t="s">
        <v>34</v>
      </c>
      <c r="C216" s="12" t="s">
        <v>260</v>
      </c>
      <c r="D216" s="12">
        <v>50</v>
      </c>
      <c r="E216" s="12">
        <v>7</v>
      </c>
      <c r="F216" s="12">
        <v>4</v>
      </c>
      <c r="G216" s="12">
        <v>9</v>
      </c>
      <c r="H216" s="12">
        <v>2762.8183431625298</v>
      </c>
      <c r="I216" s="12">
        <v>5.5709456169999996</v>
      </c>
      <c r="J216" s="12">
        <v>2757.24739754553</v>
      </c>
      <c r="K216" s="12">
        <v>82.521864448000002</v>
      </c>
      <c r="L216" s="12">
        <v>206.14199461499999</v>
      </c>
      <c r="M216" s="12">
        <v>2472.671157406</v>
      </c>
      <c r="N216" s="12">
        <v>724.63172480827302</v>
      </c>
      <c r="O216" s="12" t="s">
        <v>333</v>
      </c>
      <c r="P216" s="12">
        <v>1049</v>
      </c>
      <c r="Q216" s="12">
        <v>551</v>
      </c>
      <c r="S216" s="12">
        <v>1378.2577040195399</v>
      </c>
      <c r="U216" s="12">
        <v>724.67645507268196</v>
      </c>
    </row>
    <row r="217" spans="1:21" x14ac:dyDescent="0.2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>
        <v>3775</v>
      </c>
      <c r="S217" s="12">
        <v>6889.4468951225199</v>
      </c>
      <c r="U217" s="12">
        <v>777.07349180357198</v>
      </c>
    </row>
    <row r="218" spans="1:21" x14ac:dyDescent="0.2">
      <c r="A218" s="11" t="s">
        <v>656</v>
      </c>
      <c r="B218" s="12" t="s">
        <v>34</v>
      </c>
      <c r="C218" s="12" t="s">
        <v>262</v>
      </c>
      <c r="D218" s="12">
        <v>50</v>
      </c>
      <c r="E218" s="12">
        <v>4</v>
      </c>
      <c r="F218" s="12">
        <v>2</v>
      </c>
      <c r="G218" s="12">
        <v>11</v>
      </c>
      <c r="H218" s="12">
        <v>2033.3602809905999</v>
      </c>
      <c r="I218" s="12">
        <v>5.5854434099999999</v>
      </c>
      <c r="J218" s="12">
        <v>2027.7748375806</v>
      </c>
      <c r="K218" s="12">
        <v>16.010166393999999</v>
      </c>
      <c r="L218" s="12">
        <v>32.308120033000002</v>
      </c>
      <c r="M218" s="12">
        <v>1983.613300748</v>
      </c>
      <c r="N218" s="12">
        <v>869.40557456206898</v>
      </c>
      <c r="O218" s="12" t="s">
        <v>333</v>
      </c>
      <c r="P218" s="12">
        <v>2165</v>
      </c>
      <c r="Q218" s="12">
        <v>877</v>
      </c>
      <c r="S218" s="12">
        <v>799.81971001625004</v>
      </c>
      <c r="U218" s="12">
        <v>869.40557456206898</v>
      </c>
    </row>
    <row r="219" spans="1:21" x14ac:dyDescent="0.2">
      <c r="A219" s="11" t="s">
        <v>660</v>
      </c>
      <c r="B219" s="12" t="s">
        <v>34</v>
      </c>
      <c r="C219" s="12" t="s">
        <v>263</v>
      </c>
      <c r="D219" s="12">
        <v>50</v>
      </c>
      <c r="E219" s="12">
        <v>7</v>
      </c>
      <c r="F219" s="12">
        <v>4</v>
      </c>
      <c r="G219" s="12">
        <v>10</v>
      </c>
      <c r="H219" s="12">
        <v>449.070197820663</v>
      </c>
      <c r="I219" s="12">
        <v>5.5808184350000003</v>
      </c>
      <c r="J219" s="12">
        <v>443.48937938566303</v>
      </c>
      <c r="K219" s="12">
        <v>75.205622323</v>
      </c>
      <c r="L219" s="12">
        <v>39.4332938269999</v>
      </c>
      <c r="M219" s="12">
        <v>332.94626211500002</v>
      </c>
      <c r="N219" s="12">
        <v>720.65131037196397</v>
      </c>
      <c r="O219" s="12" t="s">
        <v>333</v>
      </c>
      <c r="P219" s="12">
        <v>61</v>
      </c>
      <c r="Q219" s="12">
        <v>73</v>
      </c>
      <c r="S219" s="12">
        <v>253.16586112976</v>
      </c>
      <c r="U219" s="12">
        <v>720.96839834172602</v>
      </c>
    </row>
    <row r="220" spans="1:21" x14ac:dyDescent="0.2">
      <c r="A220" s="11" t="s">
        <v>664</v>
      </c>
      <c r="B220" s="12" t="s">
        <v>34</v>
      </c>
      <c r="C220" s="12" t="s">
        <v>264</v>
      </c>
      <c r="D220" s="12">
        <v>50</v>
      </c>
      <c r="E220" s="12">
        <v>9</v>
      </c>
      <c r="F220" s="12">
        <v>5</v>
      </c>
      <c r="G220" s="12">
        <v>9</v>
      </c>
      <c r="H220" s="12">
        <v>1902.4058861732401</v>
      </c>
      <c r="I220" s="12">
        <v>5.5744948359999897</v>
      </c>
      <c r="J220" s="12">
        <v>1896.8313913372399</v>
      </c>
      <c r="K220" s="12">
        <v>330.91844370199999</v>
      </c>
      <c r="L220" s="12">
        <v>31.908492612</v>
      </c>
      <c r="M220" s="12">
        <v>1538.0352776140001</v>
      </c>
      <c r="N220" s="12">
        <v>785.96996324184897</v>
      </c>
      <c r="O220" s="12" t="s">
        <v>333</v>
      </c>
      <c r="P220" s="12">
        <v>921</v>
      </c>
      <c r="Q220" s="12">
        <v>291</v>
      </c>
      <c r="S220" s="12">
        <v>993.06819891929604</v>
      </c>
      <c r="U220" s="12">
        <v>787.06510936626603</v>
      </c>
    </row>
    <row r="221" spans="1:21" x14ac:dyDescent="0.2">
      <c r="A221" s="11" t="s">
        <v>668</v>
      </c>
      <c r="B221" s="12" t="s">
        <v>34</v>
      </c>
      <c r="C221" s="12" t="s">
        <v>341</v>
      </c>
      <c r="D221" s="12">
        <v>50</v>
      </c>
      <c r="E221" s="12">
        <v>4</v>
      </c>
      <c r="F221" s="12">
        <v>2</v>
      </c>
      <c r="G221" s="12">
        <v>11</v>
      </c>
      <c r="H221" s="12">
        <v>2268.1115291118599</v>
      </c>
      <c r="I221" s="12">
        <v>5.5767703790000001</v>
      </c>
      <c r="J221" s="12">
        <v>2262.5347587328602</v>
      </c>
      <c r="K221" s="12">
        <v>15.919853489999999</v>
      </c>
      <c r="L221" s="12">
        <v>226.42720886000001</v>
      </c>
      <c r="M221" s="12">
        <v>2024.3491217860001</v>
      </c>
      <c r="N221" s="12">
        <v>844.60545401275101</v>
      </c>
      <c r="O221" s="12" t="s">
        <v>333</v>
      </c>
      <c r="P221" s="12">
        <v>1713</v>
      </c>
      <c r="Q221" s="12">
        <v>1623</v>
      </c>
      <c r="S221" s="12">
        <v>2118.1416401863098</v>
      </c>
      <c r="U221" s="12">
        <v>844.60545401275101</v>
      </c>
    </row>
    <row r="222" spans="1:21" x14ac:dyDescent="0.2">
      <c r="A222" s="11" t="s">
        <v>672</v>
      </c>
      <c r="B222" s="12" t="s">
        <v>34</v>
      </c>
      <c r="C222" s="12" t="s">
        <v>265</v>
      </c>
      <c r="D222" s="12">
        <v>50</v>
      </c>
      <c r="E222" s="12">
        <v>7</v>
      </c>
      <c r="F222" s="12">
        <v>4</v>
      </c>
      <c r="G222" s="12">
        <v>10</v>
      </c>
      <c r="H222" s="12">
        <v>403.05558991432099</v>
      </c>
      <c r="I222" s="12">
        <v>5.5585446540000003</v>
      </c>
      <c r="J222" s="12">
        <v>397.49704526032099</v>
      </c>
      <c r="K222" s="12">
        <v>83.277550493999996</v>
      </c>
      <c r="L222" s="12">
        <v>12.744952828999899</v>
      </c>
      <c r="M222" s="12">
        <v>305.54634729999998</v>
      </c>
      <c r="N222" s="12">
        <v>703.13046942794199</v>
      </c>
      <c r="O222" s="12" t="s">
        <v>333</v>
      </c>
      <c r="P222" s="12">
        <v>255</v>
      </c>
      <c r="Q222" s="12">
        <v>129</v>
      </c>
      <c r="S222" s="12">
        <v>275.68863296508698</v>
      </c>
      <c r="U222" s="12">
        <v>703.13046942794199</v>
      </c>
    </row>
    <row r="223" spans="1:21" x14ac:dyDescent="0.2">
      <c r="A223" s="11" t="s">
        <v>676</v>
      </c>
      <c r="B223" s="12" t="s">
        <v>34</v>
      </c>
      <c r="C223" s="12" t="s">
        <v>267</v>
      </c>
      <c r="D223" s="12">
        <v>50</v>
      </c>
      <c r="E223" s="12">
        <v>9</v>
      </c>
      <c r="F223" s="12">
        <v>5</v>
      </c>
      <c r="G223" s="12">
        <v>10</v>
      </c>
      <c r="H223" s="12">
        <v>745.87976288795403</v>
      </c>
      <c r="I223" s="12">
        <v>5.615699029</v>
      </c>
      <c r="J223" s="12">
        <v>740.26406385895405</v>
      </c>
      <c r="K223" s="12">
        <v>315.11823099700001</v>
      </c>
      <c r="L223" s="12">
        <v>197.64554878999999</v>
      </c>
      <c r="M223" s="12">
        <v>231.57702519899999</v>
      </c>
      <c r="N223" s="12">
        <v>786.50646648842906</v>
      </c>
      <c r="O223" s="12" t="s">
        <v>333</v>
      </c>
      <c r="P223" s="12">
        <v>125</v>
      </c>
      <c r="Q223" s="12">
        <v>53</v>
      </c>
      <c r="S223" s="12">
        <v>618.482681989669</v>
      </c>
      <c r="U223" s="12">
        <v>786.50646648842906</v>
      </c>
    </row>
    <row r="224" spans="1:21" x14ac:dyDescent="0.2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>
        <v>12885</v>
      </c>
      <c r="S224" s="12">
        <v>11042.494369029901</v>
      </c>
      <c r="U224" s="12">
        <v>851.42290134817199</v>
      </c>
    </row>
    <row r="225" spans="1:21" x14ac:dyDescent="0.2">
      <c r="A225" s="11" t="s">
        <v>683</v>
      </c>
      <c r="B225" s="12" t="s">
        <v>34</v>
      </c>
      <c r="C225" s="12" t="s">
        <v>270</v>
      </c>
      <c r="D225" s="12">
        <v>50</v>
      </c>
      <c r="E225" s="12">
        <v>7</v>
      </c>
      <c r="F225" s="12">
        <v>4</v>
      </c>
      <c r="G225" s="12">
        <v>10</v>
      </c>
      <c r="H225" s="12">
        <v>1220.97556114196</v>
      </c>
      <c r="I225" s="12">
        <v>5.6044414040000001</v>
      </c>
      <c r="J225" s="12">
        <v>1215.37111973796</v>
      </c>
      <c r="K225" s="12">
        <v>79.769610323999999</v>
      </c>
      <c r="L225" s="12">
        <v>135.34617225999901</v>
      </c>
      <c r="M225" s="12">
        <v>1004.297764488</v>
      </c>
      <c r="N225" s="12">
        <v>743.15016536224005</v>
      </c>
      <c r="O225" s="12" t="s">
        <v>333</v>
      </c>
      <c r="P225" s="12">
        <v>589</v>
      </c>
      <c r="Q225" s="12">
        <v>521</v>
      </c>
      <c r="S225" s="12">
        <v>937.76472783088605</v>
      </c>
      <c r="U225" s="12">
        <v>743.89268790857</v>
      </c>
    </row>
    <row r="226" spans="1:21" x14ac:dyDescent="0.2">
      <c r="A226" s="11" t="s">
        <v>687</v>
      </c>
      <c r="B226" s="12" t="s">
        <v>34</v>
      </c>
      <c r="C226" s="12" t="s">
        <v>271</v>
      </c>
      <c r="D226" s="12">
        <v>50</v>
      </c>
      <c r="E226" s="12">
        <v>9</v>
      </c>
      <c r="F226" s="12">
        <v>5</v>
      </c>
      <c r="G226" s="12">
        <v>9</v>
      </c>
      <c r="H226" s="12">
        <v>600.49885582923798</v>
      </c>
      <c r="I226" s="12">
        <v>5.6166009770000001</v>
      </c>
      <c r="J226" s="12">
        <v>594.88225485223802</v>
      </c>
      <c r="K226" s="12">
        <v>325.40990817699998</v>
      </c>
      <c r="L226" s="12">
        <v>215.61160506499999</v>
      </c>
      <c r="M226" s="12">
        <v>57.952750643000002</v>
      </c>
      <c r="N226" s="12">
        <v>714.38464263870696</v>
      </c>
      <c r="O226" s="12" t="s">
        <v>333</v>
      </c>
      <c r="P226" s="12">
        <v>21</v>
      </c>
      <c r="Q226" s="12">
        <v>101</v>
      </c>
      <c r="S226" s="12">
        <v>789.26198005676201</v>
      </c>
      <c r="U226" s="12">
        <v>718.79112944616497</v>
      </c>
    </row>
    <row r="227" spans="1:21" x14ac:dyDescent="0.2">
      <c r="A227" s="11" t="s">
        <v>691</v>
      </c>
      <c r="B227" s="12" t="s">
        <v>34</v>
      </c>
      <c r="C227" s="12" t="s">
        <v>273</v>
      </c>
      <c r="D227" s="12">
        <v>50</v>
      </c>
      <c r="E227" s="12">
        <v>4</v>
      </c>
      <c r="F227" s="12">
        <v>2</v>
      </c>
      <c r="G227" s="12">
        <v>11</v>
      </c>
      <c r="H227" s="12">
        <v>1040.0056459903701</v>
      </c>
      <c r="I227" s="12">
        <v>5.6794528409999998</v>
      </c>
      <c r="J227" s="12">
        <v>1034.3261931493701</v>
      </c>
      <c r="K227" s="12">
        <v>16.418366092999999</v>
      </c>
      <c r="L227" s="12">
        <v>123.02386729200001</v>
      </c>
      <c r="M227" s="12">
        <v>899.13848214999996</v>
      </c>
      <c r="N227" s="12">
        <v>843.66914797906202</v>
      </c>
      <c r="O227" s="12" t="s">
        <v>333</v>
      </c>
      <c r="P227" s="12">
        <v>1049</v>
      </c>
      <c r="Q227" s="12">
        <v>465</v>
      </c>
      <c r="S227" s="12">
        <v>551.38859319686799</v>
      </c>
      <c r="U227" s="12">
        <v>843.66914797906202</v>
      </c>
    </row>
    <row r="228" spans="1:21" x14ac:dyDescent="0.2">
      <c r="A228" s="11" t="s">
        <v>695</v>
      </c>
      <c r="B228" s="12" t="s">
        <v>34</v>
      </c>
      <c r="C228" s="12" t="s">
        <v>275</v>
      </c>
      <c r="D228" s="12">
        <v>50</v>
      </c>
      <c r="E228" s="12">
        <v>7</v>
      </c>
      <c r="F228" s="12">
        <v>4</v>
      </c>
      <c r="G228" s="12">
        <v>10</v>
      </c>
      <c r="H228" s="12">
        <v>1708.9067380428301</v>
      </c>
      <c r="I228" s="12">
        <v>5.5942146729999997</v>
      </c>
      <c r="J228" s="12">
        <v>1703.3125233698299</v>
      </c>
      <c r="K228" s="12">
        <v>71.850415717000004</v>
      </c>
      <c r="L228" s="12">
        <v>252.00999487199999</v>
      </c>
      <c r="M228" s="12">
        <v>1383.5315477189999</v>
      </c>
      <c r="N228" s="12">
        <v>734.29754159240201</v>
      </c>
      <c r="O228" s="12" t="s">
        <v>333</v>
      </c>
      <c r="P228" s="12">
        <v>791</v>
      </c>
      <c r="Q228" s="12">
        <v>377</v>
      </c>
      <c r="S228" s="12">
        <v>1021.16072487831</v>
      </c>
      <c r="U228" s="12">
        <v>734.29754159240201</v>
      </c>
    </row>
    <row r="229" spans="1:21" x14ac:dyDescent="0.2">
      <c r="A229" s="11" t="s">
        <v>699</v>
      </c>
      <c r="B229" s="12" t="s">
        <v>34</v>
      </c>
      <c r="C229" s="12" t="s">
        <v>277</v>
      </c>
      <c r="D229" s="12">
        <v>50</v>
      </c>
      <c r="E229" s="12">
        <v>9</v>
      </c>
      <c r="F229" s="12">
        <v>5</v>
      </c>
      <c r="G229" s="12">
        <v>10</v>
      </c>
      <c r="H229" s="12">
        <v>2510.6682360172199</v>
      </c>
      <c r="I229" s="12">
        <v>5.5672128319999903</v>
      </c>
      <c r="J229" s="12">
        <v>2505.1010231852201</v>
      </c>
      <c r="K229" s="12">
        <v>289.06361245900001</v>
      </c>
      <c r="L229" s="12">
        <v>36.458685991999999</v>
      </c>
      <c r="M229" s="12">
        <v>2183.5957323849998</v>
      </c>
      <c r="N229" s="12">
        <v>864.42323117647902</v>
      </c>
      <c r="O229" s="12" t="s">
        <v>333</v>
      </c>
      <c r="P229" s="12">
        <v>1741</v>
      </c>
      <c r="Q229" s="12">
        <v>571</v>
      </c>
      <c r="S229" s="12">
        <v>1060.1689620018001</v>
      </c>
      <c r="U229" s="12">
        <v>864.42323117647902</v>
      </c>
    </row>
    <row r="230" spans="1:21" x14ac:dyDescent="0.2">
      <c r="A230" s="11" t="s">
        <v>703</v>
      </c>
      <c r="B230" s="12" t="s">
        <v>34</v>
      </c>
      <c r="C230" s="12" t="s">
        <v>278</v>
      </c>
      <c r="D230" s="12">
        <v>50</v>
      </c>
      <c r="E230" s="12">
        <v>4</v>
      </c>
      <c r="F230" s="12">
        <v>2</v>
      </c>
      <c r="G230" s="12">
        <v>11</v>
      </c>
      <c r="H230" s="12">
        <v>31.973802089691102</v>
      </c>
      <c r="I230" s="12">
        <v>5.6240355769999999</v>
      </c>
      <c r="J230" s="12">
        <v>26.349766512691101</v>
      </c>
      <c r="K230" s="12">
        <v>15.850807312000001</v>
      </c>
      <c r="L230" s="12">
        <v>7.9258771540000001</v>
      </c>
      <c r="M230" s="12">
        <v>6.765599345</v>
      </c>
      <c r="N230" s="12">
        <v>858.58239070955904</v>
      </c>
      <c r="O230" s="12" t="s">
        <v>333</v>
      </c>
      <c r="P230" s="12">
        <v>5</v>
      </c>
      <c r="Q230" s="12">
        <v>5</v>
      </c>
      <c r="S230" s="12">
        <v>32.8077199459075</v>
      </c>
      <c r="U230" s="12">
        <v>858.58239070955904</v>
      </c>
    </row>
    <row r="231" spans="1:21" x14ac:dyDescent="0.2">
      <c r="A231" s="11" t="s">
        <v>707</v>
      </c>
      <c r="B231" s="12" t="s">
        <v>34</v>
      </c>
      <c r="C231" s="12" t="s">
        <v>279</v>
      </c>
      <c r="D231" s="12">
        <v>50</v>
      </c>
      <c r="E231" s="12">
        <v>7</v>
      </c>
      <c r="F231" s="12">
        <v>4</v>
      </c>
      <c r="G231" s="12">
        <v>9</v>
      </c>
      <c r="H231" s="12">
        <v>3341.5730929374599</v>
      </c>
      <c r="I231" s="12">
        <v>5.5466675479999896</v>
      </c>
      <c r="J231" s="12">
        <v>3336.0264253894602</v>
      </c>
      <c r="K231" s="12">
        <v>83.538385852000005</v>
      </c>
      <c r="L231" s="12">
        <v>121.660582288</v>
      </c>
      <c r="M231" s="12">
        <v>3134.8853340320002</v>
      </c>
      <c r="N231" s="12">
        <v>733.04338323688103</v>
      </c>
      <c r="O231" s="12" t="s">
        <v>333</v>
      </c>
      <c r="P231" s="12">
        <v>2439</v>
      </c>
      <c r="Q231" s="12">
        <v>1663</v>
      </c>
      <c r="S231" s="12">
        <v>2288.9409570693902</v>
      </c>
      <c r="U231" s="12">
        <v>733.04338323688103</v>
      </c>
    </row>
    <row r="232" spans="1:21" x14ac:dyDescent="0.2">
      <c r="A232" s="11" t="s">
        <v>711</v>
      </c>
      <c r="B232" s="12" t="s">
        <v>34</v>
      </c>
      <c r="C232" s="12" t="s">
        <v>280</v>
      </c>
      <c r="D232" s="12">
        <v>50</v>
      </c>
      <c r="E232" s="12">
        <v>9</v>
      </c>
      <c r="F232" s="12">
        <v>5</v>
      </c>
      <c r="G232" s="12">
        <v>9</v>
      </c>
      <c r="H232" s="12">
        <v>880.53570294380097</v>
      </c>
      <c r="I232" s="12">
        <v>5.5485826109999996</v>
      </c>
      <c r="J232" s="12">
        <v>874.98712033280106</v>
      </c>
      <c r="K232" s="12">
        <v>314.19187176600002</v>
      </c>
      <c r="L232" s="12">
        <v>35.123632565999998</v>
      </c>
      <c r="M232" s="12">
        <v>529.65971140500005</v>
      </c>
      <c r="N232" s="12">
        <v>798.30697006622404</v>
      </c>
      <c r="O232" s="12" t="s">
        <v>333</v>
      </c>
      <c r="P232" s="12">
        <v>499</v>
      </c>
      <c r="Q232" s="12">
        <v>367</v>
      </c>
      <c r="S232" s="12">
        <v>714.04288697242703</v>
      </c>
      <c r="U232" s="12">
        <v>798.30697006622404</v>
      </c>
    </row>
    <row r="233" spans="1:21" x14ac:dyDescent="0.2">
      <c r="A233" s="11" t="s">
        <v>715</v>
      </c>
      <c r="B233" s="12" t="s">
        <v>34</v>
      </c>
      <c r="C233" s="12" t="s">
        <v>282</v>
      </c>
      <c r="D233" s="12">
        <v>50</v>
      </c>
      <c r="E233" s="12">
        <v>4</v>
      </c>
      <c r="F233" s="12">
        <v>2</v>
      </c>
      <c r="G233" s="12">
        <v>12</v>
      </c>
      <c r="H233" s="12">
        <v>3791.1521039008999</v>
      </c>
      <c r="I233" s="12">
        <v>5.6496493499999998</v>
      </c>
      <c r="J233" s="12">
        <v>3785.5024545509</v>
      </c>
      <c r="K233" s="12">
        <v>15.963791983</v>
      </c>
      <c r="L233" s="12">
        <v>8.2997344579999996</v>
      </c>
      <c r="M233" s="12">
        <v>3765.4593501559998</v>
      </c>
      <c r="N233" s="12">
        <v>945.78127214580604</v>
      </c>
      <c r="O233" s="12" t="s">
        <v>333</v>
      </c>
      <c r="P233" s="12">
        <v>9299</v>
      </c>
      <c r="Q233" s="12">
        <v>5845</v>
      </c>
      <c r="S233" s="12">
        <v>2190.8279459476398</v>
      </c>
      <c r="U233" s="12">
        <v>945.78127214580604</v>
      </c>
    </row>
    <row r="234" spans="1:21" x14ac:dyDescent="0.2">
      <c r="A234" s="11" t="s">
        <v>719</v>
      </c>
      <c r="B234" s="12" t="s">
        <v>34</v>
      </c>
      <c r="C234" s="12" t="s">
        <v>285</v>
      </c>
      <c r="D234" s="12">
        <v>50</v>
      </c>
      <c r="E234" s="12">
        <v>7</v>
      </c>
      <c r="F234" s="12">
        <v>4</v>
      </c>
      <c r="G234" s="12">
        <v>10</v>
      </c>
      <c r="H234" s="12">
        <v>8122.9631860256104</v>
      </c>
      <c r="I234" s="12">
        <v>5.788011987</v>
      </c>
      <c r="J234" s="12">
        <v>8117.1751740386198</v>
      </c>
      <c r="K234" s="12">
        <v>77.944273038000006</v>
      </c>
      <c r="L234" s="12">
        <v>10.772378239</v>
      </c>
      <c r="M234" s="12">
        <v>8032.7121306139998</v>
      </c>
      <c r="N234" s="12">
        <v>733.06895306761999</v>
      </c>
      <c r="O234" s="12" t="s">
        <v>333</v>
      </c>
      <c r="P234" s="12">
        <v>10349</v>
      </c>
      <c r="Q234" s="12">
        <v>2599</v>
      </c>
      <c r="S234" s="12">
        <v>2185.77381396293</v>
      </c>
      <c r="U234" s="12">
        <v>733.06895306761999</v>
      </c>
    </row>
    <row r="235" spans="1:21" x14ac:dyDescent="0.2">
      <c r="A235" s="11" t="s">
        <v>723</v>
      </c>
      <c r="B235" s="12" t="s">
        <v>34</v>
      </c>
      <c r="C235" s="12" t="s">
        <v>288</v>
      </c>
      <c r="D235" s="12">
        <v>50</v>
      </c>
      <c r="E235" s="12">
        <v>9</v>
      </c>
      <c r="F235" s="12">
        <v>5</v>
      </c>
      <c r="G235" s="12">
        <v>9</v>
      </c>
      <c r="H235" s="12">
        <v>435.53141307830799</v>
      </c>
      <c r="I235" s="12">
        <v>5.5701092560000003</v>
      </c>
      <c r="J235" s="12">
        <v>429.96130382230803</v>
      </c>
      <c r="K235" s="12">
        <v>334.13967389599998</v>
      </c>
      <c r="L235" s="12">
        <v>11.245540957999999</v>
      </c>
      <c r="M235" s="12">
        <v>88.607326833000002</v>
      </c>
      <c r="N235" s="12">
        <v>807.51376326792001</v>
      </c>
      <c r="O235" s="12" t="s">
        <v>333</v>
      </c>
      <c r="P235" s="12">
        <v>93</v>
      </c>
      <c r="Q235" s="12">
        <v>75</v>
      </c>
      <c r="S235" s="12">
        <v>410.938178062438</v>
      </c>
      <c r="U235" s="12">
        <v>807.51376326792001</v>
      </c>
    </row>
    <row r="236" spans="1:21" x14ac:dyDescent="0.2">
      <c r="A236" s="11" t="s">
        <v>727</v>
      </c>
      <c r="B236" s="12" t="s">
        <v>34</v>
      </c>
      <c r="C236" s="12" t="s">
        <v>289</v>
      </c>
      <c r="D236" s="12">
        <v>50</v>
      </c>
      <c r="E236" s="12">
        <v>4</v>
      </c>
      <c r="F236" s="12">
        <v>2</v>
      </c>
      <c r="G236" s="12">
        <v>12</v>
      </c>
      <c r="H236" s="12">
        <v>58.288978099822998</v>
      </c>
      <c r="I236" s="12">
        <v>5.5093429389999997</v>
      </c>
      <c r="J236" s="12">
        <v>52.779635160822998</v>
      </c>
      <c r="K236" s="12">
        <v>15.895931321999999</v>
      </c>
      <c r="L236" s="12">
        <v>11.545089074</v>
      </c>
      <c r="M236" s="12">
        <v>29.434072345000001</v>
      </c>
      <c r="N236" s="12">
        <v>902.25635164028199</v>
      </c>
      <c r="O236" s="12" t="s">
        <v>333</v>
      </c>
      <c r="P236" s="12">
        <v>49</v>
      </c>
      <c r="Q236" s="12">
        <v>63</v>
      </c>
      <c r="S236" s="12">
        <v>65.663568973541203</v>
      </c>
      <c r="U236" s="12">
        <v>902.25635164028199</v>
      </c>
    </row>
    <row r="237" spans="1:21" x14ac:dyDescent="0.2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>
        <v>6961</v>
      </c>
      <c r="S237" s="12">
        <v>3636.97086787223</v>
      </c>
      <c r="U237" s="12">
        <v>734.73703566555196</v>
      </c>
    </row>
    <row r="238" spans="1:21" x14ac:dyDescent="0.2">
      <c r="A238" s="11" t="s">
        <v>734</v>
      </c>
      <c r="B238" s="12" t="s">
        <v>34</v>
      </c>
      <c r="C238" s="12" t="s">
        <v>292</v>
      </c>
      <c r="D238" s="12">
        <v>50</v>
      </c>
      <c r="E238" s="12">
        <v>9</v>
      </c>
      <c r="F238" s="12">
        <v>5</v>
      </c>
      <c r="G238" s="12">
        <v>10</v>
      </c>
      <c r="H238" s="12">
        <v>1828.4364581108</v>
      </c>
      <c r="I238" s="12">
        <v>5.6397179619999998</v>
      </c>
      <c r="J238" s="12">
        <v>1822.7967401487999</v>
      </c>
      <c r="K238" s="12">
        <v>317.58252852599998</v>
      </c>
      <c r="L238" s="12">
        <v>45.091176986000001</v>
      </c>
      <c r="M238" s="12">
        <v>1464.2094802460001</v>
      </c>
      <c r="N238" s="12">
        <v>832.395891662743</v>
      </c>
      <c r="O238" s="12" t="s">
        <v>333</v>
      </c>
      <c r="P238" s="12">
        <v>1961</v>
      </c>
      <c r="Q238" s="12">
        <v>2335</v>
      </c>
      <c r="S238" s="12">
        <v>1862.7044568061799</v>
      </c>
      <c r="U238" s="12">
        <v>832.395891662743</v>
      </c>
    </row>
    <row r="239" spans="1:21" x14ac:dyDescent="0.2">
      <c r="A239" s="11" t="s">
        <v>738</v>
      </c>
      <c r="B239" s="12" t="s">
        <v>34</v>
      </c>
      <c r="C239" s="12" t="s">
        <v>293</v>
      </c>
      <c r="D239" s="12">
        <v>50</v>
      </c>
      <c r="E239" s="12">
        <v>4</v>
      </c>
      <c r="F239" s="12">
        <v>2</v>
      </c>
      <c r="G239" s="12">
        <v>11</v>
      </c>
      <c r="H239" s="12">
        <v>86.937895774841294</v>
      </c>
      <c r="I239" s="12">
        <v>5.5721183400000003</v>
      </c>
      <c r="J239" s="12">
        <v>81.365777434841306</v>
      </c>
      <c r="K239" s="12">
        <v>15.847707572999999</v>
      </c>
      <c r="L239" s="12">
        <v>9.3157875229999991</v>
      </c>
      <c r="M239" s="12">
        <v>60.350460413</v>
      </c>
      <c r="N239" s="12">
        <v>855.00235402994701</v>
      </c>
      <c r="O239" s="12" t="s">
        <v>333</v>
      </c>
      <c r="P239" s="12">
        <v>111</v>
      </c>
      <c r="Q239" s="12">
        <v>61</v>
      </c>
      <c r="S239" s="12">
        <v>65.040591955184894</v>
      </c>
      <c r="U239" s="12">
        <v>855.00235402994701</v>
      </c>
    </row>
    <row r="240" spans="1:21" x14ac:dyDescent="0.2">
      <c r="A240" s="11" t="s">
        <v>742</v>
      </c>
      <c r="B240" s="12" t="s">
        <v>34</v>
      </c>
      <c r="C240" s="12" t="s">
        <v>294</v>
      </c>
      <c r="D240" s="12">
        <v>50</v>
      </c>
      <c r="E240" s="12">
        <v>7</v>
      </c>
      <c r="F240" s="12">
        <v>4</v>
      </c>
      <c r="G240" s="12">
        <v>10</v>
      </c>
      <c r="H240" s="12">
        <v>307.01319098472499</v>
      </c>
      <c r="I240" s="12">
        <v>5.5805429929999999</v>
      </c>
      <c r="J240" s="12">
        <v>301.43264799172499</v>
      </c>
      <c r="K240" s="12">
        <v>80.279097035999996</v>
      </c>
      <c r="L240" s="12">
        <v>82.986361463999998</v>
      </c>
      <c r="M240" s="12">
        <v>142.25829331</v>
      </c>
      <c r="N240" s="12">
        <v>743.55467547029195</v>
      </c>
      <c r="O240" s="12" t="s">
        <v>333</v>
      </c>
      <c r="P240" s="12">
        <v>147</v>
      </c>
      <c r="Q240" s="12">
        <v>97</v>
      </c>
      <c r="S240" s="12">
        <v>271.47610497474602</v>
      </c>
      <c r="U240" s="12">
        <v>743.55467547029104</v>
      </c>
    </row>
    <row r="241" spans="1:21" x14ac:dyDescent="0.2">
      <c r="A241" s="11" t="s">
        <v>746</v>
      </c>
      <c r="B241" s="12" t="s">
        <v>34</v>
      </c>
      <c r="C241" s="12" t="s">
        <v>296</v>
      </c>
      <c r="D241" s="12">
        <v>50</v>
      </c>
      <c r="E241" s="12">
        <v>9</v>
      </c>
      <c r="F241" s="12">
        <v>5</v>
      </c>
      <c r="G241" s="12">
        <v>9</v>
      </c>
      <c r="H241" s="12">
        <v>516.89278817176796</v>
      </c>
      <c r="I241" s="12">
        <v>5.5712669009999898</v>
      </c>
      <c r="J241" s="12">
        <v>511.32152127076802</v>
      </c>
      <c r="K241" s="12">
        <v>322.35938454799998</v>
      </c>
      <c r="L241" s="12">
        <v>10.32274123</v>
      </c>
      <c r="M241" s="12">
        <v>182.66993733499999</v>
      </c>
      <c r="N241" s="12">
        <v>753.50083965029</v>
      </c>
      <c r="O241" s="12" t="s">
        <v>333</v>
      </c>
      <c r="P241" s="12">
        <v>187</v>
      </c>
      <c r="Q241" s="12">
        <v>87</v>
      </c>
      <c r="S241" s="12">
        <v>417.46974396705599</v>
      </c>
      <c r="U241" s="12">
        <v>755.02799277625604</v>
      </c>
    </row>
    <row r="242" spans="1:21" x14ac:dyDescent="0.2">
      <c r="A242" s="11" t="s">
        <v>750</v>
      </c>
      <c r="B242" s="12" t="s">
        <v>34</v>
      </c>
      <c r="C242" s="12" t="s">
        <v>297</v>
      </c>
      <c r="D242" s="12">
        <v>50</v>
      </c>
      <c r="E242" s="12">
        <v>4</v>
      </c>
      <c r="F242" s="12">
        <v>2</v>
      </c>
      <c r="G242" s="12">
        <v>12</v>
      </c>
      <c r="H242" s="12">
        <v>40.266143083572302</v>
      </c>
      <c r="I242" s="12">
        <v>5.5908177390000002</v>
      </c>
      <c r="J242" s="12">
        <v>34.6753253445723</v>
      </c>
      <c r="K242" s="12">
        <v>16.116822306</v>
      </c>
      <c r="L242" s="12">
        <v>11.059832030000001</v>
      </c>
      <c r="M242" s="12">
        <v>11.666177498</v>
      </c>
      <c r="N242" s="12">
        <v>909.08900057300696</v>
      </c>
      <c r="O242" s="12" t="s">
        <v>333</v>
      </c>
      <c r="P242" s="12">
        <v>15</v>
      </c>
      <c r="Q242" s="12">
        <v>41</v>
      </c>
      <c r="S242" s="12">
        <v>51.741114854812601</v>
      </c>
      <c r="U242" s="12">
        <v>909.08900057300696</v>
      </c>
    </row>
    <row r="243" spans="1:21" x14ac:dyDescent="0.2">
      <c r="A243" s="11" t="s">
        <v>754</v>
      </c>
      <c r="B243" s="12" t="s">
        <v>34</v>
      </c>
      <c r="C243" s="12" t="s">
        <v>298</v>
      </c>
      <c r="D243" s="12">
        <v>50</v>
      </c>
      <c r="E243" s="12">
        <v>7</v>
      </c>
      <c r="F243" s="12">
        <v>4</v>
      </c>
      <c r="G243" s="12">
        <v>9</v>
      </c>
      <c r="H243" s="12">
        <v>433.47736501693697</v>
      </c>
      <c r="I243" s="12">
        <v>5.5974612869999998</v>
      </c>
      <c r="J243" s="12">
        <v>427.87990372993698</v>
      </c>
      <c r="K243" s="12">
        <v>72.878525624999995</v>
      </c>
      <c r="L243" s="12">
        <v>25.679717402000001</v>
      </c>
      <c r="M243" s="12">
        <v>333.43145423099998</v>
      </c>
      <c r="N243" s="12">
        <v>730.028027536933</v>
      </c>
      <c r="O243" s="12" t="s">
        <v>333</v>
      </c>
      <c r="P243" s="12">
        <v>271</v>
      </c>
      <c r="Q243" s="12">
        <v>99</v>
      </c>
      <c r="S243" s="12">
        <v>207.37500214576701</v>
      </c>
      <c r="U243" s="12">
        <v>730.028027536933</v>
      </c>
    </row>
    <row r="244" spans="1:21" x14ac:dyDescent="0.2">
      <c r="A244" s="11" t="s">
        <v>758</v>
      </c>
      <c r="B244" s="12" t="s">
        <v>34</v>
      </c>
      <c r="C244" s="12" t="s">
        <v>300</v>
      </c>
      <c r="D244" s="12">
        <v>50</v>
      </c>
      <c r="E244" s="12">
        <v>9</v>
      </c>
      <c r="F244" s="12">
        <v>5</v>
      </c>
      <c r="G244" s="12">
        <v>9</v>
      </c>
      <c r="H244" s="12">
        <v>1478.76312303543</v>
      </c>
      <c r="I244" s="12">
        <v>5.5967215990000003</v>
      </c>
      <c r="J244" s="12">
        <v>1473.1664014364301</v>
      </c>
      <c r="K244" s="12">
        <v>300.43329803400002</v>
      </c>
      <c r="L244" s="12">
        <v>27.203658563000001</v>
      </c>
      <c r="M244" s="12">
        <v>1149.563421626</v>
      </c>
      <c r="N244" s="12">
        <v>833.30816974229901</v>
      </c>
      <c r="O244" s="12" t="s">
        <v>333</v>
      </c>
      <c r="P244" s="12">
        <v>1549</v>
      </c>
      <c r="Q244" s="12">
        <v>133</v>
      </c>
      <c r="S244" s="12">
        <v>446.21148300170898</v>
      </c>
      <c r="U244" s="12">
        <v>833.30816974229901</v>
      </c>
    </row>
    <row r="245" spans="1:21" s="33" customFormat="1" x14ac:dyDescent="0.2">
      <c r="H245" s="33">
        <f>AVERAGE(H185:H244)</f>
        <v>1391.2281044198735</v>
      </c>
      <c r="P245" s="33">
        <f t="shared" ref="I245:U245" si="7">AVERAGE(P185:P244)</f>
        <v>1364.0175438596491</v>
      </c>
      <c r="Q245" s="33">
        <f t="shared" si="7"/>
        <v>1127.9666666666667</v>
      </c>
      <c r="S245" s="33">
        <f t="shared" si="7"/>
        <v>1158.6170555035244</v>
      </c>
    </row>
    <row r="248" spans="1:2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1:21" x14ac:dyDescent="0.2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21" x14ac:dyDescent="0.2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21" x14ac:dyDescent="0.2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21" x14ac:dyDescent="0.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21" x14ac:dyDescent="0.2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21" x14ac:dyDescent="0.2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21" x14ac:dyDescent="0.2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21" x14ac:dyDescent="0.2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 x14ac:dyDescent="0.2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 x14ac:dyDescent="0.2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 x14ac:dyDescent="0.2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 x14ac:dyDescent="0.2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 x14ac:dyDescent="0.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 x14ac:dyDescent="0.2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x14ac:dyDescent="0.2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 x14ac:dyDescent="0.2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 x14ac:dyDescent="0.2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 x14ac:dyDescent="0.2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 x14ac:dyDescent="0.2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 x14ac:dyDescent="0.2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x14ac:dyDescent="0.2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 x14ac:dyDescent="0.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x14ac:dyDescent="0.2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x14ac:dyDescent="0.2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 x14ac:dyDescent="0.2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 x14ac:dyDescent="0.2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x14ac:dyDescent="0.2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 x14ac:dyDescent="0.2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x14ac:dyDescent="0.2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 x14ac:dyDescent="0.2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x14ac:dyDescent="0.2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 x14ac:dyDescent="0.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 x14ac:dyDescent="0.2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 x14ac:dyDescent="0.2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 x14ac:dyDescent="0.2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 x14ac:dyDescent="0.2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 x14ac:dyDescent="0.2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x14ac:dyDescent="0.2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x14ac:dyDescent="0.2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 x14ac:dyDescent="0.2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 x14ac:dyDescent="0.2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1:16" x14ac:dyDescent="0.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1:16" x14ac:dyDescent="0.2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 x14ac:dyDescent="0.2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 x14ac:dyDescent="0.2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 x14ac:dyDescent="0.2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x14ac:dyDescent="0.2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 x14ac:dyDescent="0.2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 x14ac:dyDescent="0.2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 x14ac:dyDescent="0.2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 x14ac:dyDescent="0.2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 x14ac:dyDescent="0.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 x14ac:dyDescent="0.2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 x14ac:dyDescent="0.2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 x14ac:dyDescent="0.2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 x14ac:dyDescent="0.2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 x14ac:dyDescent="0.2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</sheetData>
  <sortState xmlns:xlrd2="http://schemas.microsoft.com/office/spreadsheetml/2017/richdata2" ref="A3:P244">
    <sortCondition ref="D3:D244"/>
    <sortCondition ref="C3:C244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BAP</vt:lpstr>
      <vt:lpstr>Compact</vt:lpstr>
      <vt:lpstr>Sheet1</vt:lpstr>
      <vt:lpstr>nico_dataset</vt:lpstr>
      <vt:lpstr>Sheet2</vt:lpstr>
      <vt:lpstr>Sheet3</vt:lpstr>
      <vt:lpstr>final</vt:lpstr>
      <vt:lpstr>Sheet4</vt:lpstr>
      <vt:lpstr>node_nb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JiahuaTang</dc:creator>
  <cp:lastModifiedBy>TANG Jiahua</cp:lastModifiedBy>
  <dcterms:created xsi:type="dcterms:W3CDTF">2025-09-24T13:10:26Z</dcterms:created>
  <dcterms:modified xsi:type="dcterms:W3CDTF">2026-08-25T09:30:46Z</dcterms:modified>
</cp:coreProperties>
</file>